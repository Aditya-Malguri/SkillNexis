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FD9159C-45C6-4884-AA23-DE17C1BF9FC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Dashboard" sheetId="6" r:id="rId5"/>
    <sheet name="Raw_data" sheetId="1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L17" i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L29" i="1"/>
  <c r="L30" i="1"/>
  <c r="M30" i="1" s="1"/>
  <c r="L31" i="1"/>
  <c r="M31" i="1" s="1"/>
  <c r="B6" i="6"/>
  <c r="B5" i="6"/>
  <c r="B4" i="6"/>
  <c r="B3" i="6"/>
  <c r="M2" i="1"/>
  <c r="M4" i="1"/>
  <c r="M16" i="1"/>
  <c r="M17" i="1"/>
  <c r="M28" i="1"/>
  <c r="M29" i="1"/>
  <c r="L2" i="1"/>
</calcChain>
</file>

<file path=xl/sharedStrings.xml><?xml version="1.0" encoding="utf-8"?>
<sst xmlns="http://schemas.openxmlformats.org/spreadsheetml/2006/main" count="305" uniqueCount="92">
  <si>
    <t>Order_ID</t>
  </si>
  <si>
    <t>Order_Date</t>
  </si>
  <si>
    <t>Customer_ID</t>
  </si>
  <si>
    <t>Customer_Name</t>
  </si>
  <si>
    <t>Product</t>
  </si>
  <si>
    <t>Category</t>
  </si>
  <si>
    <t>Region</t>
  </si>
  <si>
    <t>Quantity</t>
  </si>
  <si>
    <t>Unit_Price</t>
  </si>
  <si>
    <t>Discount</t>
  </si>
  <si>
    <t>Payment_Method</t>
  </si>
  <si>
    <t>C001</t>
  </si>
  <si>
    <t>Aarav Sharma</t>
  </si>
  <si>
    <t>Laptop</t>
  </si>
  <si>
    <t>Electronics</t>
  </si>
  <si>
    <t>North</t>
  </si>
  <si>
    <t>Credit Card</t>
  </si>
  <si>
    <t>C002</t>
  </si>
  <si>
    <t>Ananya Singh</t>
  </si>
  <si>
    <t>Headphones</t>
  </si>
  <si>
    <t>South</t>
  </si>
  <si>
    <t>UPI</t>
  </si>
  <si>
    <t>C003</t>
  </si>
  <si>
    <t>Rohan Verma</t>
  </si>
  <si>
    <t>Office Chair</t>
  </si>
  <si>
    <t>Furniture</t>
  </si>
  <si>
    <t>West</t>
  </si>
  <si>
    <t>Debit Card</t>
  </si>
  <si>
    <t>C004</t>
  </si>
  <si>
    <t>Simran Kaur</t>
  </si>
  <si>
    <t>Keyboard</t>
  </si>
  <si>
    <t>C005</t>
  </si>
  <si>
    <t>Vikram Joshi</t>
  </si>
  <si>
    <t>Desk</t>
  </si>
  <si>
    <t>East</t>
  </si>
  <si>
    <t>Mouse</t>
  </si>
  <si>
    <t>C006</t>
  </si>
  <si>
    <t>Neha Gupta</t>
  </si>
  <si>
    <t>Monitor</t>
  </si>
  <si>
    <t>C007</t>
  </si>
  <si>
    <t>Rahul Mehta</t>
  </si>
  <si>
    <t>C008</t>
  </si>
  <si>
    <t>Priya Nair</t>
  </si>
  <si>
    <t>Books</t>
  </si>
  <si>
    <t>C009</t>
  </si>
  <si>
    <t>Karan Malhotra</t>
  </si>
  <si>
    <t>C010</t>
  </si>
  <si>
    <t>Isha Kapoor</t>
  </si>
  <si>
    <t>C011</t>
  </si>
  <si>
    <t>Aditya Rao</t>
  </si>
  <si>
    <t>C012</t>
  </si>
  <si>
    <t>Meera Shah</t>
  </si>
  <si>
    <t>C013</t>
  </si>
  <si>
    <t>Arjun Patel</t>
  </si>
  <si>
    <t>C014</t>
  </si>
  <si>
    <t>Sneha Iyer</t>
  </si>
  <si>
    <t>C015</t>
  </si>
  <si>
    <t>Riya Das</t>
  </si>
  <si>
    <t>C016</t>
  </si>
  <si>
    <t>Manish Kumar</t>
  </si>
  <si>
    <t>C017</t>
  </si>
  <si>
    <t>Pooja Agarwal</t>
  </si>
  <si>
    <t>C018</t>
  </si>
  <si>
    <t>Dev Mishra</t>
  </si>
  <si>
    <t>C019</t>
  </si>
  <si>
    <t>Tanya Roy</t>
  </si>
  <si>
    <t>C020</t>
  </si>
  <si>
    <t>Nitin Bhatia</t>
  </si>
  <si>
    <t>C021</t>
  </si>
  <si>
    <t>Shreya Jain</t>
  </si>
  <si>
    <t>C022</t>
  </si>
  <si>
    <t>Varun Sethi</t>
  </si>
  <si>
    <t>C023</t>
  </si>
  <si>
    <t>Kavya Menon</t>
  </si>
  <si>
    <t>C024</t>
  </si>
  <si>
    <t>Sahil Khanna</t>
  </si>
  <si>
    <t>Revenue</t>
  </si>
  <si>
    <t>Revenue_check</t>
  </si>
  <si>
    <t>Row Labels</t>
  </si>
  <si>
    <t>Grand Total</t>
  </si>
  <si>
    <t>Jan</t>
  </si>
  <si>
    <t>Feb</t>
  </si>
  <si>
    <t>Mar</t>
  </si>
  <si>
    <t>Sum of Revenue</t>
  </si>
  <si>
    <t>Sum of Quantity</t>
  </si>
  <si>
    <t>Average of Unit_Price</t>
  </si>
  <si>
    <t>Count of Order_ID</t>
  </si>
  <si>
    <t>Total Revenue</t>
  </si>
  <si>
    <t>Total Order</t>
  </si>
  <si>
    <t>Total Quantity</t>
  </si>
  <si>
    <t>Average Order Value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</si>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</sst>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0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</dxf>
    <dxf>
      <numFmt numFmtId="19" formatCode="m/d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Laptop</c:v>
                </c:pt>
                <c:pt idx="1">
                  <c:v>Desk</c:v>
                </c:pt>
                <c:pt idx="2">
                  <c:v>Monitor</c:v>
                </c:pt>
                <c:pt idx="3">
                  <c:v>Office Chair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  <c:pt idx="7">
                  <c:v>Books</c:v>
                </c:pt>
              </c:strCache>
            </c:strRef>
          </c:cat>
          <c:val>
            <c:numRef>
              <c:f>Sheet2!$B$4:$B$12</c:f>
              <c:numCache>
                <c:formatCode>0</c:formatCode>
                <c:ptCount val="8"/>
                <c:pt idx="0">
                  <c:v>357500</c:v>
                </c:pt>
                <c:pt idx="1">
                  <c:v>96750</c:v>
                </c:pt>
                <c:pt idx="2">
                  <c:v>96300</c:v>
                </c:pt>
                <c:pt idx="3">
                  <c:v>46200</c:v>
                </c:pt>
                <c:pt idx="4">
                  <c:v>24750</c:v>
                </c:pt>
                <c:pt idx="5">
                  <c:v>22250</c:v>
                </c:pt>
                <c:pt idx="6">
                  <c:v>15840</c:v>
                </c:pt>
                <c:pt idx="7">
                  <c:v>10620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2-40B2-8CBB-FDBCBB81563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Laptop</c:v>
                </c:pt>
                <c:pt idx="1">
                  <c:v>Desk</c:v>
                </c:pt>
                <c:pt idx="2">
                  <c:v>Monitor</c:v>
                </c:pt>
                <c:pt idx="3">
                  <c:v>Office Chair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  <c:pt idx="7">
                  <c:v>Books</c:v>
                </c:pt>
              </c:strCache>
            </c:strRef>
          </c:cat>
          <c:val>
            <c:numRef>
              <c:f>Sheet2!$C$4:$C$12</c:f>
              <c:numCache>
                <c:formatCode>General</c:formatCode>
                <c:ptCount val="8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9</c:v>
                </c:pt>
                <c:pt idx="6">
                  <c:v>14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2-40B2-8CBB-FDBCBB815636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Laptop</c:v>
                </c:pt>
                <c:pt idx="1">
                  <c:v>Desk</c:v>
                </c:pt>
                <c:pt idx="2">
                  <c:v>Monitor</c:v>
                </c:pt>
                <c:pt idx="3">
                  <c:v>Office Chair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  <c:pt idx="7">
                  <c:v>Books</c:v>
                </c:pt>
              </c:strCache>
            </c:strRef>
          </c:cat>
          <c:val>
            <c:numRef>
              <c:f>Sheet2!$D$4:$D$12</c:f>
              <c:numCache>
                <c:formatCode>General</c:formatCode>
                <c:ptCount val="8"/>
                <c:pt idx="0">
                  <c:v>65000</c:v>
                </c:pt>
                <c:pt idx="1">
                  <c:v>15000</c:v>
                </c:pt>
                <c:pt idx="2">
                  <c:v>18000</c:v>
                </c:pt>
                <c:pt idx="3">
                  <c:v>12000</c:v>
                </c:pt>
                <c:pt idx="4">
                  <c:v>3000</c:v>
                </c:pt>
                <c:pt idx="5">
                  <c:v>2500</c:v>
                </c:pt>
                <c:pt idx="6">
                  <c:v>1200</c:v>
                </c:pt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2-40B2-8CBB-FDBCBB815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6970831"/>
        <c:axId val="1696745519"/>
      </c:barChart>
      <c:catAx>
        <c:axId val="170697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45519"/>
        <c:crosses val="autoZero"/>
        <c:auto val="1"/>
        <c:lblAlgn val="ctr"/>
        <c:lblOffset val="100"/>
        <c:noMultiLvlLbl val="0"/>
      </c:catAx>
      <c:valAx>
        <c:axId val="169674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7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595311</xdr:colOff>
      <xdr:row>2</xdr:row>
      <xdr:rowOff>66675</xdr:rowOff>
    </xdr:from>
    <xdr:to>
      <xdr:col>16</xdr:col>
      <xdr:colOff>485775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205FA-8591-1F2B-C183-755869C9A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Malguri" refreshedDate="46268.448465624999" createdVersion="8" refreshedVersion="8" minRefreshableVersion="3" recordCount="31" xr:uid="{E28244E1-B2F7-4B16-8D32-D71E39CD415C}">
  <cacheSource type="worksheet">
    <worksheetSource ref="A1:XFD1048576" sheet="Raw_data"/>
  </cacheSource>
  <cacheFields count="16384">
    <cacheField name="Order_ID" numFmtId="0">
      <sharedItems containsString="0" containsBlank="1" containsNumber="1" containsInteger="1" minValue="1001" maxValue="1030"/>
    </cacheField>
    <cacheField name="Order_Date" numFmtId="14">
      <sharedItems containsNonDate="0" containsDate="1" containsString="0" containsBlank="1" minDate="2025-01-03T00:00:00" maxDate="2025-03-31T00:00:00"/>
    </cacheField>
    <cacheField name="Customer_ID" numFmtId="0">
      <sharedItems containsBlank="1"/>
    </cacheField>
    <cacheField name="Customer_Name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600" maxValue="65000"/>
    </cacheField>
    <cacheField name="Discount" numFmtId="0">
      <sharedItems containsString="0" containsBlank="1" containsNumber="1" minValue="0" maxValue="0.15"/>
    </cacheField>
    <cacheField name="Payment_Method" numFmtId="0">
      <sharedItems containsBlank="1"/>
    </cacheField>
    <cacheField name="Field12" caption="Field12" numFmtId="0">
      <sharedItems containsNonDate="0" containsString="0" containsBlank="1"/>
    </cacheField>
    <cacheField name="Revenue" numFmtId="0">
      <sharedItems containsString="0" containsBlank="1" containsNumber="1" containsInteger="1" minValue="1800" maxValue="110500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Malguri" refreshedDate="46271.60726099537" createdVersion="8" refreshedVersion="8" minRefreshableVersion="3" recordCount="30" xr:uid="{18A6ED10-9A98-457D-98FD-07A5E690F583}">
  <cacheSource type="worksheet">
    <worksheetSource name="Table1"/>
  </cacheSource>
  <cacheFields count="14">
    <cacheField name="Order_ID" numFmtId="0">
      <sharedItems containsSemiMixedTypes="0" containsString="0" containsNumber="1" containsInteger="1" minValue="1001" maxValue="1030"/>
    </cacheField>
    <cacheField name="Order_Date" numFmtId="14">
      <sharedItems containsSemiMixedTypes="0" containsNonDate="0" containsDate="1" containsString="0" minDate="2025-01-03T00:00:00" maxDate="2025-03-31T00:00:00" count="30">
        <d v="2025-01-03T00:00:00"/>
        <d v="2025-01-05T00:00:00"/>
        <d v="2025-01-07T00:00:00"/>
        <d v="2025-01-10T00:00:00"/>
        <d v="2025-01-12T00:00:00"/>
        <d v="2025-01-15T00:00:00"/>
        <d v="2025-01-18T00:00:00"/>
        <d v="2025-01-21T00:00:00"/>
        <d v="2025-01-24T00:00:00"/>
        <d v="2025-01-27T00:00:00"/>
        <d v="2025-02-02T00:00:00"/>
        <d v="2025-02-05T00:00:00"/>
        <d v="2025-02-08T00:00:00"/>
        <d v="2025-02-11T00:00:00"/>
        <d v="2025-02-14T00:00:00"/>
        <d v="2025-02-17T00:00:00"/>
        <d v="2025-02-20T00:00:00"/>
        <d v="2025-02-23T00:00:00"/>
        <d v="2025-02-26T00:00:00"/>
        <d v="2025-02-28T00:00:00"/>
        <d v="2025-03-03T00:00:00"/>
        <d v="2025-03-06T00:00:00"/>
        <d v="2025-03-09T00:00:00"/>
        <d v="2025-03-12T00:00:00"/>
        <d v="2025-03-15T00:00:00"/>
        <d v="2025-03-18T00:00:00"/>
        <d v="2025-03-21T00:00:00"/>
        <d v="2025-03-24T00:00:00"/>
        <d v="2025-03-27T00:00:00"/>
        <d v="2025-03-30T00:00:00"/>
      </sharedItems>
      <fieldGroup par="13"/>
    </cacheField>
    <cacheField name="Customer_ID" numFmtId="0">
      <sharedItems/>
    </cacheField>
    <cacheField name="Customer_Name" numFmtId="0">
      <sharedItems count="24">
        <s v="Aarav Sharma"/>
        <s v="Ananya Singh"/>
        <s v="Rohan Verma"/>
        <s v="Simran Kaur"/>
        <s v="Vikram Joshi"/>
        <s v="Neha Gupta"/>
        <s v="Rahul Mehta"/>
        <s v="Priya Nair"/>
        <s v="Karan Malhotra"/>
        <s v="Isha Kapoor"/>
        <s v="Aditya Rao"/>
        <s v="Meera Shah"/>
        <s v="Arjun Patel"/>
        <s v="Sneha Iyer"/>
        <s v="Riya Das"/>
        <s v="Manish Kumar"/>
        <s v="Pooja Agarwal"/>
        <s v="Dev Mishra"/>
        <s v="Tanya Roy"/>
        <s v="Nitin Bhatia"/>
        <s v="Shreya Jain"/>
        <s v="Varun Sethi"/>
        <s v="Kavya Menon"/>
        <s v="Sahil Khanna"/>
      </sharedItems>
    </cacheField>
    <cacheField name="Product" numFmtId="0">
      <sharedItems count="8">
        <s v="Laptop"/>
        <s v="Headphones"/>
        <s v="Office Chair"/>
        <s v="Keyboard"/>
        <s v="Desk"/>
        <s v="Mouse"/>
        <s v="Monitor"/>
        <s v="Books"/>
      </sharedItems>
    </cacheField>
    <cacheField name="Category" numFmtId="0">
      <sharedItems count="3">
        <s v="Electronics"/>
        <s v="Furniture"/>
        <s v="Books"/>
      </sharedItems>
    </cacheField>
    <cacheField name="Region" numFmtId="0">
      <sharedItems count="4">
        <s v="North"/>
        <s v="South"/>
        <s v="West"/>
        <s v="East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600" maxValue="65000" count="8">
        <n v="65000"/>
        <n v="3000"/>
        <n v="12000"/>
        <n v="2500"/>
        <n v="15000"/>
        <n v="1200"/>
        <n v="18000"/>
        <n v="600"/>
      </sharedItems>
    </cacheField>
    <cacheField name="Discount" numFmtId="0">
      <sharedItems containsSemiMixedTypes="0" containsString="0" containsNumber="1" minValue="0" maxValue="0.15" count="4">
        <n v="0.05"/>
        <n v="0.1"/>
        <n v="0"/>
        <n v="0.15"/>
      </sharedItems>
    </cacheField>
    <cacheField name="Payment_Method" numFmtId="0">
      <sharedItems count="3">
        <s v="Credit Card"/>
        <s v="UPI"/>
        <s v="Debit Card"/>
      </sharedItems>
    </cacheField>
    <cacheField name="Revenue" numFmtId="1">
      <sharedItems containsSemiMixedTypes="0" containsString="0" containsNumber="1" containsInteger="1" minValue="1800" maxValue="110500"/>
    </cacheField>
    <cacheField name="Revenue_check" numFmtId="0">
      <sharedItems/>
    </cacheField>
    <cacheField name="Months (Order_Date)" numFmtId="0" databaseField="0">
      <fieldGroup base="1">
        <rangePr groupBy="months" startDate="2025-01-03T00:00:00" endDate="2025-03-31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001"/>
    <d v="2025-01-03T00:00:00"/>
    <s v="C001"/>
    <s v="Aarav Sharma"/>
    <s v="Laptop"/>
    <s v="Electronics"/>
    <s v="North"/>
    <n v="1"/>
    <n v="65000"/>
    <n v="0.05"/>
    <s v="Credit Card"/>
    <m/>
    <n v="61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2"/>
    <d v="2025-01-05T00:00:00"/>
    <s v="C002"/>
    <s v="Ananya Singh"/>
    <s v="Headphones"/>
    <s v="Electronics"/>
    <s v="South"/>
    <n v="2"/>
    <n v="3000"/>
    <n v="0.1"/>
    <s v="UPI"/>
    <m/>
    <n v="5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3"/>
    <d v="2025-01-07T00:00:00"/>
    <s v="C003"/>
    <s v="Rohan Verma"/>
    <s v="Office Chair"/>
    <s v="Furniture"/>
    <s v="West"/>
    <n v="1"/>
    <n v="12000"/>
    <n v="0"/>
    <s v="Debit Card"/>
    <m/>
    <n v="1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4"/>
    <d v="2025-01-10T00:00:00"/>
    <s v="C004"/>
    <s v="Simran Kaur"/>
    <s v="Keyboard"/>
    <s v="Electronics"/>
    <s v="North"/>
    <n v="2"/>
    <n v="2500"/>
    <n v="0.05"/>
    <s v="UPI"/>
    <m/>
    <n v="4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5"/>
    <d v="2025-01-12T00:00:00"/>
    <s v="C005"/>
    <s v="Vikram Joshi"/>
    <s v="Desk"/>
    <s v="Furniture"/>
    <s v="East"/>
    <n v="1"/>
    <n v="15000"/>
    <n v="0.1"/>
    <s v="Credit Card"/>
    <m/>
    <n v="13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6"/>
    <d v="2025-01-15T00:00:00"/>
    <s v="C001"/>
    <s v="Aarav Sharma"/>
    <s v="Mouse"/>
    <s v="Electronics"/>
    <s v="North"/>
    <n v="3"/>
    <n v="1200"/>
    <n v="0"/>
    <s v="UPI"/>
    <m/>
    <n v="3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7"/>
    <d v="2025-01-18T00:00:00"/>
    <s v="C006"/>
    <s v="Neha Gupta"/>
    <s v="Monitor"/>
    <s v="Electronics"/>
    <s v="South"/>
    <n v="1"/>
    <n v="18000"/>
    <n v="0.05"/>
    <s v="Credit Card"/>
    <m/>
    <n v="17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8"/>
    <d v="2025-01-21T00:00:00"/>
    <s v="C007"/>
    <s v="Rahul Mehta"/>
    <s v="Desk"/>
    <s v="Furniture"/>
    <s v="West"/>
    <n v="2"/>
    <n v="15000"/>
    <n v="0.15"/>
    <s v="UPI"/>
    <m/>
    <n v="25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9"/>
    <d v="2025-01-24T00:00:00"/>
    <s v="C008"/>
    <s v="Priya Nair"/>
    <s v="Books"/>
    <s v="Books"/>
    <s v="South"/>
    <n v="5"/>
    <n v="600"/>
    <n v="0"/>
    <s v="Debit Card"/>
    <m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0"/>
    <d v="2025-01-27T00:00:00"/>
    <s v="C009"/>
    <s v="Karan Malhotra"/>
    <s v="Laptop"/>
    <s v="Electronics"/>
    <s v="East"/>
    <n v="1"/>
    <n v="65000"/>
    <n v="0.1"/>
    <s v="Credit Card"/>
    <m/>
    <n v="58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1"/>
    <d v="2025-02-02T00:00:00"/>
    <s v="C010"/>
    <s v="Isha Kapoor"/>
    <s v="Headphones"/>
    <s v="Electronics"/>
    <s v="North"/>
    <n v="3"/>
    <n v="3000"/>
    <n v="0.05"/>
    <s v="UPI"/>
    <m/>
    <n v="8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2"/>
    <d v="2025-02-05T00:00:00"/>
    <s v="C002"/>
    <s v="Ananya Singh"/>
    <s v="Monitor"/>
    <s v="Electronics"/>
    <s v="South"/>
    <n v="2"/>
    <n v="18000"/>
    <n v="0.1"/>
    <s v="Credit Card"/>
    <m/>
    <n v="32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3"/>
    <d v="2025-02-08T00:00:00"/>
    <s v="C011"/>
    <s v="Aditya Rao"/>
    <s v="Office Chair"/>
    <s v="Furniture"/>
    <s v="West"/>
    <n v="2"/>
    <n v="12000"/>
    <n v="0.05"/>
    <s v="Debit Card"/>
    <m/>
    <n v="22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4"/>
    <d v="2025-02-11T00:00:00"/>
    <s v="C012"/>
    <s v="Meera Shah"/>
    <s v="Books"/>
    <s v="Books"/>
    <s v="East"/>
    <n v="4"/>
    <n v="600"/>
    <n v="0"/>
    <s v="UPI"/>
    <m/>
    <n v="2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5"/>
    <d v="2025-02-14T00:00:00"/>
    <s v="C013"/>
    <s v="Arjun Patel"/>
    <s v="Laptop"/>
    <s v="Electronics"/>
    <s v="North"/>
    <n v="2"/>
    <n v="65000"/>
    <n v="0.15"/>
    <s v="Credit Card"/>
    <m/>
    <n v="110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6"/>
    <d v="2025-02-17T00:00:00"/>
    <s v="C014"/>
    <s v="Sneha Iyer"/>
    <s v="Desk"/>
    <s v="Furniture"/>
    <s v="South"/>
    <n v="1"/>
    <n v="15000"/>
    <n v="0.05"/>
    <s v="UPI"/>
    <m/>
    <n v="14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7"/>
    <d v="2025-02-20T00:00:00"/>
    <s v="C005"/>
    <s v="Vikram Joshi"/>
    <s v="Mouse"/>
    <s v="Electronics"/>
    <s v="East"/>
    <n v="5"/>
    <n v="1200"/>
    <n v="0.1"/>
    <s v="Debit Card"/>
    <m/>
    <n v="5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8"/>
    <d v="2025-02-23T00:00:00"/>
    <s v="C015"/>
    <s v="Riya Das"/>
    <s v="Keyboard"/>
    <s v="Electronics"/>
    <s v="West"/>
    <n v="3"/>
    <n v="2500"/>
    <n v="0"/>
    <s v="UPI"/>
    <m/>
    <n v="7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9"/>
    <d v="2025-02-26T00:00:00"/>
    <s v="C016"/>
    <s v="Manish Kumar"/>
    <s v="Books"/>
    <s v="Books"/>
    <s v="North"/>
    <n v="6"/>
    <n v="600"/>
    <n v="0.05"/>
    <s v="Credit Card"/>
    <m/>
    <n v="34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0"/>
    <d v="2025-02-28T00:00:00"/>
    <s v="C003"/>
    <s v="Rohan Verma"/>
    <s v="Monitor"/>
    <s v="Electronics"/>
    <s v="West"/>
    <n v="1"/>
    <n v="18000"/>
    <n v="0.1"/>
    <s v="Debit Card"/>
    <m/>
    <n v="1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1"/>
    <d v="2025-03-03T00:00:00"/>
    <s v="C017"/>
    <s v="Pooja Agarwal"/>
    <s v="Laptop"/>
    <s v="Electronics"/>
    <s v="South"/>
    <n v="1"/>
    <n v="65000"/>
    <n v="0.05"/>
    <s v="Credit Card"/>
    <m/>
    <n v="61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2"/>
    <d v="2025-03-06T00:00:00"/>
    <s v="C018"/>
    <s v="Dev Mishra"/>
    <s v="Desk"/>
    <s v="Furniture"/>
    <s v="North"/>
    <n v="2"/>
    <n v="15000"/>
    <n v="0"/>
    <s v="UPI"/>
    <m/>
    <n v="3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3"/>
    <d v="2025-03-09T00:00:00"/>
    <s v="C019"/>
    <s v="Tanya Roy"/>
    <s v="Headphones"/>
    <s v="Electronics"/>
    <s v="East"/>
    <n v="4"/>
    <n v="3000"/>
    <n v="0.1"/>
    <s v="UPI"/>
    <m/>
    <n v="10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4"/>
    <d v="2025-03-12T00:00:00"/>
    <s v="C020"/>
    <s v="Nitin Bhatia"/>
    <s v="Office Chair"/>
    <s v="Furniture"/>
    <s v="South"/>
    <n v="1"/>
    <n v="12000"/>
    <n v="0.05"/>
    <s v="Credit Card"/>
    <m/>
    <n v="11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5"/>
    <d v="2025-03-15T00:00:00"/>
    <s v="C001"/>
    <s v="Aarav Sharma"/>
    <s v="Laptop"/>
    <s v="Electronics"/>
    <s v="North"/>
    <n v="1"/>
    <n v="65000"/>
    <n v="0"/>
    <s v="Credit Card"/>
    <m/>
    <n v="6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6"/>
    <d v="2025-03-18T00:00:00"/>
    <s v="C006"/>
    <s v="Neha Gupta"/>
    <s v="Books"/>
    <s v="Books"/>
    <s v="South"/>
    <n v="3"/>
    <n v="600"/>
    <n v="0"/>
    <s v="UPI"/>
    <m/>
    <n v="1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7"/>
    <d v="2025-03-21T00:00:00"/>
    <s v="C021"/>
    <s v="Shreya Jain"/>
    <s v="Monitor"/>
    <s v="Electronics"/>
    <s v="West"/>
    <n v="2"/>
    <n v="18000"/>
    <n v="0.15"/>
    <s v="Credit Card"/>
    <m/>
    <n v="30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8"/>
    <d v="2025-03-24T00:00:00"/>
    <s v="C022"/>
    <s v="Varun Sethi"/>
    <s v="Mouse"/>
    <s v="Electronics"/>
    <s v="East"/>
    <n v="6"/>
    <n v="1200"/>
    <n v="0.05"/>
    <s v="Debit Card"/>
    <m/>
    <n v="68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9"/>
    <d v="2025-03-27T00:00:00"/>
    <s v="C023"/>
    <s v="Kavya Menon"/>
    <s v="Desk"/>
    <s v="Furniture"/>
    <s v="North"/>
    <n v="1"/>
    <n v="15000"/>
    <n v="0.1"/>
    <s v="UPI"/>
    <m/>
    <n v="13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0"/>
    <d v="2025-03-30T00:00:00"/>
    <s v="C024"/>
    <s v="Sahil Khanna"/>
    <s v="Keyboard"/>
    <s v="Electronics"/>
    <s v="South"/>
    <n v="4"/>
    <n v="2500"/>
    <n v="0"/>
    <s v="Credit Card"/>
    <m/>
    <n v="1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s v="C001"/>
    <x v="0"/>
    <x v="0"/>
    <x v="0"/>
    <x v="0"/>
    <n v="1"/>
    <x v="0"/>
    <x v="0"/>
    <x v="0"/>
    <n v="61750"/>
    <s v="OK"/>
  </r>
  <r>
    <n v="1002"/>
    <x v="1"/>
    <s v="C002"/>
    <x v="1"/>
    <x v="1"/>
    <x v="0"/>
    <x v="1"/>
    <n v="2"/>
    <x v="1"/>
    <x v="1"/>
    <x v="1"/>
    <n v="5400"/>
    <s v="OK"/>
  </r>
  <r>
    <n v="1003"/>
    <x v="2"/>
    <s v="C003"/>
    <x v="2"/>
    <x v="2"/>
    <x v="1"/>
    <x v="2"/>
    <n v="1"/>
    <x v="2"/>
    <x v="2"/>
    <x v="2"/>
    <n v="12000"/>
    <s v="OK"/>
  </r>
  <r>
    <n v="1004"/>
    <x v="3"/>
    <s v="C004"/>
    <x v="3"/>
    <x v="3"/>
    <x v="0"/>
    <x v="0"/>
    <n v="2"/>
    <x v="3"/>
    <x v="0"/>
    <x v="1"/>
    <n v="4750"/>
    <s v="OK"/>
  </r>
  <r>
    <n v="1005"/>
    <x v="4"/>
    <s v="C005"/>
    <x v="4"/>
    <x v="4"/>
    <x v="1"/>
    <x v="3"/>
    <n v="1"/>
    <x v="4"/>
    <x v="1"/>
    <x v="0"/>
    <n v="13500"/>
    <s v="OK"/>
  </r>
  <r>
    <n v="1006"/>
    <x v="5"/>
    <s v="C001"/>
    <x v="0"/>
    <x v="5"/>
    <x v="0"/>
    <x v="0"/>
    <n v="3"/>
    <x v="5"/>
    <x v="2"/>
    <x v="1"/>
    <n v="3600"/>
    <s v="OK"/>
  </r>
  <r>
    <n v="1007"/>
    <x v="6"/>
    <s v="C006"/>
    <x v="5"/>
    <x v="6"/>
    <x v="0"/>
    <x v="1"/>
    <n v="1"/>
    <x v="6"/>
    <x v="0"/>
    <x v="0"/>
    <n v="17100"/>
    <s v="OK"/>
  </r>
  <r>
    <n v="1008"/>
    <x v="7"/>
    <s v="C007"/>
    <x v="6"/>
    <x v="4"/>
    <x v="1"/>
    <x v="2"/>
    <n v="2"/>
    <x v="4"/>
    <x v="3"/>
    <x v="1"/>
    <n v="25500"/>
    <s v="OK"/>
  </r>
  <r>
    <n v="1009"/>
    <x v="8"/>
    <s v="C008"/>
    <x v="7"/>
    <x v="7"/>
    <x v="2"/>
    <x v="1"/>
    <n v="5"/>
    <x v="7"/>
    <x v="2"/>
    <x v="2"/>
    <n v="3000"/>
    <s v="OK"/>
  </r>
  <r>
    <n v="1010"/>
    <x v="9"/>
    <s v="C009"/>
    <x v="8"/>
    <x v="0"/>
    <x v="0"/>
    <x v="3"/>
    <n v="1"/>
    <x v="0"/>
    <x v="1"/>
    <x v="0"/>
    <n v="58500"/>
    <s v="OK"/>
  </r>
  <r>
    <n v="1011"/>
    <x v="10"/>
    <s v="C010"/>
    <x v="9"/>
    <x v="1"/>
    <x v="0"/>
    <x v="0"/>
    <n v="3"/>
    <x v="1"/>
    <x v="0"/>
    <x v="1"/>
    <n v="8550"/>
    <s v="OK"/>
  </r>
  <r>
    <n v="1012"/>
    <x v="11"/>
    <s v="C002"/>
    <x v="1"/>
    <x v="6"/>
    <x v="0"/>
    <x v="1"/>
    <n v="2"/>
    <x v="6"/>
    <x v="1"/>
    <x v="0"/>
    <n v="32400"/>
    <s v="OK"/>
  </r>
  <r>
    <n v="1013"/>
    <x v="12"/>
    <s v="C011"/>
    <x v="10"/>
    <x v="2"/>
    <x v="1"/>
    <x v="2"/>
    <n v="2"/>
    <x v="2"/>
    <x v="0"/>
    <x v="2"/>
    <n v="22800"/>
    <s v="OK"/>
  </r>
  <r>
    <n v="1014"/>
    <x v="13"/>
    <s v="C012"/>
    <x v="11"/>
    <x v="7"/>
    <x v="2"/>
    <x v="3"/>
    <n v="4"/>
    <x v="7"/>
    <x v="2"/>
    <x v="1"/>
    <n v="2400"/>
    <s v="OK"/>
  </r>
  <r>
    <n v="1015"/>
    <x v="14"/>
    <s v="C013"/>
    <x v="12"/>
    <x v="0"/>
    <x v="0"/>
    <x v="0"/>
    <n v="2"/>
    <x v="0"/>
    <x v="3"/>
    <x v="0"/>
    <n v="110500"/>
    <s v="OK"/>
  </r>
  <r>
    <n v="1016"/>
    <x v="15"/>
    <s v="C014"/>
    <x v="13"/>
    <x v="4"/>
    <x v="1"/>
    <x v="1"/>
    <n v="1"/>
    <x v="4"/>
    <x v="0"/>
    <x v="1"/>
    <n v="14250"/>
    <s v="OK"/>
  </r>
  <r>
    <n v="1017"/>
    <x v="16"/>
    <s v="C005"/>
    <x v="4"/>
    <x v="5"/>
    <x v="0"/>
    <x v="3"/>
    <n v="5"/>
    <x v="5"/>
    <x v="1"/>
    <x v="2"/>
    <n v="5400"/>
    <s v="OK"/>
  </r>
  <r>
    <n v="1018"/>
    <x v="17"/>
    <s v="C015"/>
    <x v="14"/>
    <x v="3"/>
    <x v="0"/>
    <x v="2"/>
    <n v="3"/>
    <x v="3"/>
    <x v="2"/>
    <x v="1"/>
    <n v="7500"/>
    <s v="OK"/>
  </r>
  <r>
    <n v="1019"/>
    <x v="18"/>
    <s v="C016"/>
    <x v="15"/>
    <x v="7"/>
    <x v="2"/>
    <x v="0"/>
    <n v="6"/>
    <x v="7"/>
    <x v="0"/>
    <x v="0"/>
    <n v="3420"/>
    <s v="OK"/>
  </r>
  <r>
    <n v="1020"/>
    <x v="19"/>
    <s v="C003"/>
    <x v="2"/>
    <x v="6"/>
    <x v="0"/>
    <x v="2"/>
    <n v="1"/>
    <x v="6"/>
    <x v="1"/>
    <x v="2"/>
    <n v="16200"/>
    <s v="OK"/>
  </r>
  <r>
    <n v="1021"/>
    <x v="20"/>
    <s v="C017"/>
    <x v="16"/>
    <x v="0"/>
    <x v="0"/>
    <x v="1"/>
    <n v="1"/>
    <x v="0"/>
    <x v="0"/>
    <x v="0"/>
    <n v="61750"/>
    <s v="OK"/>
  </r>
  <r>
    <n v="1022"/>
    <x v="21"/>
    <s v="C018"/>
    <x v="17"/>
    <x v="4"/>
    <x v="1"/>
    <x v="0"/>
    <n v="2"/>
    <x v="4"/>
    <x v="2"/>
    <x v="1"/>
    <n v="30000"/>
    <s v="OK"/>
  </r>
  <r>
    <n v="1023"/>
    <x v="22"/>
    <s v="C019"/>
    <x v="18"/>
    <x v="1"/>
    <x v="0"/>
    <x v="3"/>
    <n v="4"/>
    <x v="1"/>
    <x v="1"/>
    <x v="1"/>
    <n v="10800"/>
    <s v="OK"/>
  </r>
  <r>
    <n v="1024"/>
    <x v="23"/>
    <s v="C020"/>
    <x v="19"/>
    <x v="2"/>
    <x v="1"/>
    <x v="1"/>
    <n v="1"/>
    <x v="2"/>
    <x v="0"/>
    <x v="0"/>
    <n v="11400"/>
    <s v="OK"/>
  </r>
  <r>
    <n v="1025"/>
    <x v="24"/>
    <s v="C001"/>
    <x v="0"/>
    <x v="0"/>
    <x v="0"/>
    <x v="0"/>
    <n v="1"/>
    <x v="0"/>
    <x v="2"/>
    <x v="0"/>
    <n v="65000"/>
    <s v="OK"/>
  </r>
  <r>
    <n v="1026"/>
    <x v="25"/>
    <s v="C006"/>
    <x v="5"/>
    <x v="7"/>
    <x v="2"/>
    <x v="1"/>
    <n v="3"/>
    <x v="7"/>
    <x v="2"/>
    <x v="1"/>
    <n v="1800"/>
    <s v="OK"/>
  </r>
  <r>
    <n v="1027"/>
    <x v="26"/>
    <s v="C021"/>
    <x v="20"/>
    <x v="6"/>
    <x v="0"/>
    <x v="2"/>
    <n v="2"/>
    <x v="6"/>
    <x v="3"/>
    <x v="0"/>
    <n v="30600"/>
    <s v="OK"/>
  </r>
  <r>
    <n v="1028"/>
    <x v="27"/>
    <s v="C022"/>
    <x v="21"/>
    <x v="5"/>
    <x v="0"/>
    <x v="3"/>
    <n v="6"/>
    <x v="5"/>
    <x v="0"/>
    <x v="2"/>
    <n v="6840"/>
    <s v="OK"/>
  </r>
  <r>
    <n v="1029"/>
    <x v="28"/>
    <s v="C023"/>
    <x v="22"/>
    <x v="4"/>
    <x v="1"/>
    <x v="0"/>
    <n v="1"/>
    <x v="4"/>
    <x v="1"/>
    <x v="1"/>
    <n v="13500"/>
    <s v="OK"/>
  </r>
  <r>
    <n v="1030"/>
    <x v="29"/>
    <s v="C024"/>
    <x v="23"/>
    <x v="3"/>
    <x v="0"/>
    <x v="1"/>
    <n v="4"/>
    <x v="3"/>
    <x v="2"/>
    <x v="0"/>
    <n v="10000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B2AE9-267A-421C-9EB1-9BF6B335891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3:D12" firstHeaderRow="0" firstDataRow="1" firstDataCol="1"/>
  <pivotFields count="14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 sortType="descending">
      <items count="9">
        <item x="7"/>
        <item x="4"/>
        <item x="1"/>
        <item x="3"/>
        <item x="0"/>
        <item x="6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>
      <items count="9">
        <item x="7"/>
        <item x="5"/>
        <item x="3"/>
        <item x="1"/>
        <item x="2"/>
        <item x="4"/>
        <item x="6"/>
        <item x="0"/>
        <item t="default"/>
      </items>
    </pivotField>
    <pivotField showAll="0"/>
    <pivotField showAll="0"/>
    <pivotField dataField="1" numFmtI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 v="4"/>
    </i>
    <i>
      <x v="1"/>
    </i>
    <i>
      <x v="5"/>
    </i>
    <i>
      <x v="7"/>
    </i>
    <i>
      <x v="2"/>
    </i>
    <i>
      <x v="3"/>
    </i>
    <i>
      <x v="6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1" baseField="4" baseItem="0" numFmtId="1"/>
    <dataField name="Sum of Quantity" fld="7" baseField="0" baseItem="0"/>
    <dataField name="Average of Unit_Price" fld="8" subtotal="average" baseField="4" baseItem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2990D-6D78-495F-8CE6-FA979A634E5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0" firstHeaderRow="0" firstDataRow="1" firstDataCol="1"/>
  <pivotFields count="14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9">
        <item x="7"/>
        <item x="4"/>
        <item x="1"/>
        <item x="3"/>
        <item x="0"/>
        <item x="6"/>
        <item x="5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dataField="1" numFmtI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4"/>
  </rowFields>
  <rowItems count="27">
    <i>
      <x v="1"/>
    </i>
    <i r="1">
      <x/>
    </i>
    <i r="1">
      <x v="1"/>
    </i>
    <i r="1">
      <x v="2"/>
    </i>
    <i r="1">
      <x v="3"/>
    </i>
    <i r="1">
      <x v="4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>
      <x v="3"/>
    </i>
    <i r="1">
      <x v="1"/>
    </i>
    <i r="1">
      <x v="3"/>
    </i>
    <i r="1">
      <x v="5"/>
    </i>
    <i r="1">
      <x v="7"/>
    </i>
    <i>
      <x/>
    </i>
    <i r="1">
      <x/>
    </i>
    <i r="1">
      <x v="1"/>
    </i>
    <i r="1">
      <x v="2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0A0A7-4F12-4ADA-8726-73DC24093A0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4">
    <i>
      <x v="3"/>
    </i>
    <i>
      <x v="2"/>
    </i>
    <i>
      <x v="1"/>
    </i>
    <i t="grand">
      <x/>
    </i>
  </rowItems>
  <colItems count="1">
    <i/>
  </colItems>
  <dataFields count="1">
    <dataField name="Sum of Revenue" fld="1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2F6AB-4566-49D6-A139-36B785D0DC6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7" firstHeaderRow="0" firstDataRow="1" firstDataCol="1"/>
  <pivotFields count="14">
    <pivotField dataField="1"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 sortType="descending">
      <items count="25">
        <item x="0"/>
        <item x="10"/>
        <item x="1"/>
        <item x="12"/>
        <item x="17"/>
        <item x="9"/>
        <item x="8"/>
        <item x="22"/>
        <item x="15"/>
        <item x="11"/>
        <item x="5"/>
        <item x="19"/>
        <item x="16"/>
        <item x="7"/>
        <item x="6"/>
        <item x="14"/>
        <item x="2"/>
        <item x="23"/>
        <item x="20"/>
        <item x="3"/>
        <item x="13"/>
        <item x="18"/>
        <item x="2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9">
        <item x="7"/>
        <item x="4"/>
        <item x="1"/>
        <item x="3"/>
        <item x="0"/>
        <item x="6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numFmtI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4"/>
  </rowFields>
  <rowItems count="54">
    <i>
      <x/>
    </i>
    <i r="1">
      <x v="4"/>
    </i>
    <i r="1">
      <x v="6"/>
    </i>
    <i>
      <x v="3"/>
    </i>
    <i r="1">
      <x v="4"/>
    </i>
    <i>
      <x v="12"/>
    </i>
    <i r="1">
      <x v="4"/>
    </i>
    <i>
      <x v="6"/>
    </i>
    <i r="1">
      <x v="4"/>
    </i>
    <i>
      <x v="2"/>
    </i>
    <i r="1">
      <x v="2"/>
    </i>
    <i r="1">
      <x v="5"/>
    </i>
    <i>
      <x v="18"/>
    </i>
    <i r="1">
      <x v="5"/>
    </i>
    <i>
      <x v="4"/>
    </i>
    <i r="1">
      <x v="1"/>
    </i>
    <i>
      <x v="16"/>
    </i>
    <i r="1">
      <x v="5"/>
    </i>
    <i r="1">
      <x v="7"/>
    </i>
    <i>
      <x v="14"/>
    </i>
    <i r="1">
      <x v="1"/>
    </i>
    <i>
      <x v="1"/>
    </i>
    <i r="1">
      <x v="7"/>
    </i>
    <i>
      <x v="10"/>
    </i>
    <i r="1">
      <x/>
    </i>
    <i r="1">
      <x v="5"/>
    </i>
    <i>
      <x v="23"/>
    </i>
    <i r="1">
      <x v="1"/>
    </i>
    <i r="1">
      <x v="6"/>
    </i>
    <i>
      <x v="20"/>
    </i>
    <i r="1">
      <x v="1"/>
    </i>
    <i>
      <x v="7"/>
    </i>
    <i r="1">
      <x v="1"/>
    </i>
    <i>
      <x v="11"/>
    </i>
    <i r="1">
      <x v="7"/>
    </i>
    <i>
      <x v="21"/>
    </i>
    <i r="1">
      <x v="2"/>
    </i>
    <i>
      <x v="17"/>
    </i>
    <i r="1">
      <x v="3"/>
    </i>
    <i>
      <x v="5"/>
    </i>
    <i r="1">
      <x v="2"/>
    </i>
    <i>
      <x v="15"/>
    </i>
    <i r="1">
      <x v="3"/>
    </i>
    <i>
      <x v="22"/>
    </i>
    <i r="1">
      <x v="6"/>
    </i>
    <i>
      <x v="19"/>
    </i>
    <i r="1">
      <x v="3"/>
    </i>
    <i>
      <x v="8"/>
    </i>
    <i r="1">
      <x/>
    </i>
    <i>
      <x v="13"/>
    </i>
    <i r="1">
      <x/>
    </i>
    <i>
      <x v="9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1" baseField="0" baseItem="0" numFmtId="1"/>
    <dataField name="Sum of Quantity" fld="7" baseField="0" baseItem="0"/>
    <dataField name="Count of Order_ID" fld="0" subtotal="count" baseField="4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3A5A8-AF45-4079-BDBD-C59AE1F317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2:P29" firstHeaderRow="1" firstDataRow="1" firstDataCol="0"/>
  <pivotFields count="1638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B7924-1172-4CD5-BA7E-3E4F592CEC6B}" name="Table1" displayName="Table1" ref="A1:M31" totalsRowShown="0" headerRowDxfId="9">
  <autoFilter ref="A1:M31" xr:uid="{4C4B7924-1172-4CD5-BA7E-3E4F592CEC6B}"/>
  <tableColumns count="13">
    <tableColumn id="1" xr3:uid="{1CE76D81-E317-4653-8927-A5B444505C2D}" name="Order_ID"/>
    <tableColumn id="2" xr3:uid="{33B64807-3234-49AF-940D-BEA010B8D3DB}" name="Order_Date" dataDxfId="8"/>
    <tableColumn id="3" xr3:uid="{4747DFB1-45AB-42C3-8EC0-570AF2D3794D}" name="Customer_ID"/>
    <tableColumn id="4" xr3:uid="{B5E6F7FF-8385-4959-A772-3DDCBB985631}" name="Customer_Name"/>
    <tableColumn id="5" xr3:uid="{F5155A28-456B-4EAC-ACB1-F3B80201FA1F}" name="Product"/>
    <tableColumn id="6" xr3:uid="{93599213-71E0-4EA6-9EB8-1A756E6E263E}" name="Category"/>
    <tableColumn id="7" xr3:uid="{36C31D12-4F60-41F3-B9AC-07A927047D1F}" name="Region"/>
    <tableColumn id="8" xr3:uid="{6794F7E7-3D39-42B7-BB81-F766D62781D7}" name="Quantity"/>
    <tableColumn id="9" xr3:uid="{48382B4F-94B1-4C09-8101-71D3A4D8BAA0}" name="Unit_Price"/>
    <tableColumn id="10" xr3:uid="{FE1D9736-8B9C-459A-833B-A7E154A74B53}" name="Discount"/>
    <tableColumn id="11" xr3:uid="{A522B423-D346-4A7D-AA0D-7A3D76F9B314}" name="Payment_Method"/>
    <tableColumn id="13" xr3:uid="{A13728DC-513D-4C18-B359-795079DE2F6F}" name="Revenue" dataDxfId="7">
      <calculatedColumnFormula>H2*I2*(1-J2)</calculatedColumnFormula>
    </tableColumn>
    <tableColumn id="14" xr3:uid="{F8CA281D-2789-47C7-96FD-FC98AA1D4697}" name="Revenue_check" dataDxfId="6">
      <calculatedColumnFormula>IF(L2=H2*I2*(1-J2),"OK","CHECK")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92D1-E14F-4B9B-9881-B82F97842BD3}">
  <dimension ref="A3:D12"/>
  <sheetViews>
    <sheetView workbookViewId="0">
      <selection activeCell="B4" sqref="B4"/>
    </sheetView>
  </sheetViews>
  <sheetFormatPr defaultRowHeight="14.4" x14ac:dyDescent="0.3"/>
  <cols>
    <col min="1" max="1" width="12.109375" bestFit="1" customWidth="1"/>
    <col min="2" max="2" width="15.5546875" bestFit="1" customWidth="1"/>
    <col min="3" max="3" width="15.44140625" bestFit="1" customWidth="1"/>
    <col min="4" max="4" width="20.5546875" bestFit="1" customWidth="1"/>
    <col min="5" max="5" width="9.44140625" bestFit="1" customWidth="1"/>
    <col min="6" max="6" width="7" bestFit="1" customWidth="1"/>
    <col min="7" max="7" width="8.33203125" bestFit="1" customWidth="1"/>
    <col min="8" max="8" width="7.109375" bestFit="1" customWidth="1"/>
    <col min="9" max="9" width="11.44140625" bestFit="1" customWidth="1"/>
    <col min="10" max="10" width="11.33203125" bestFit="1" customWidth="1"/>
  </cols>
  <sheetData>
    <row r="3" spans="1:4" x14ac:dyDescent="0.3">
      <c r="A3" s="13" t="s">
        <v>4</v>
      </c>
      <c r="B3" t="s">
        <v>83</v>
      </c>
      <c r="C3" t="s">
        <v>84</v>
      </c>
      <c r="D3" t="s">
        <v>85</v>
      </c>
    </row>
    <row r="4" spans="1:4" x14ac:dyDescent="0.3">
      <c r="A4" s="14" t="s">
        <v>13</v>
      </c>
      <c r="B4" s="12">
        <v>357500</v>
      </c>
      <c r="C4">
        <v>6</v>
      </c>
      <c r="D4">
        <v>65000</v>
      </c>
    </row>
    <row r="5" spans="1:4" x14ac:dyDescent="0.3">
      <c r="A5" s="14" t="s">
        <v>33</v>
      </c>
      <c r="B5" s="12">
        <v>96750</v>
      </c>
      <c r="C5">
        <v>7</v>
      </c>
      <c r="D5">
        <v>15000</v>
      </c>
    </row>
    <row r="6" spans="1:4" x14ac:dyDescent="0.3">
      <c r="A6" s="14" t="s">
        <v>38</v>
      </c>
      <c r="B6" s="12">
        <v>96300</v>
      </c>
      <c r="C6">
        <v>6</v>
      </c>
      <c r="D6">
        <v>18000</v>
      </c>
    </row>
    <row r="7" spans="1:4" x14ac:dyDescent="0.3">
      <c r="A7" s="14" t="s">
        <v>24</v>
      </c>
      <c r="B7" s="12">
        <v>46200</v>
      </c>
      <c r="C7">
        <v>4</v>
      </c>
      <c r="D7">
        <v>12000</v>
      </c>
    </row>
    <row r="8" spans="1:4" x14ac:dyDescent="0.3">
      <c r="A8" s="14" t="s">
        <v>19</v>
      </c>
      <c r="B8" s="12">
        <v>24750</v>
      </c>
      <c r="C8">
        <v>9</v>
      </c>
      <c r="D8">
        <v>3000</v>
      </c>
    </row>
    <row r="9" spans="1:4" x14ac:dyDescent="0.3">
      <c r="A9" s="14" t="s">
        <v>30</v>
      </c>
      <c r="B9" s="12">
        <v>22250</v>
      </c>
      <c r="C9">
        <v>9</v>
      </c>
      <c r="D9">
        <v>2500</v>
      </c>
    </row>
    <row r="10" spans="1:4" x14ac:dyDescent="0.3">
      <c r="A10" s="14" t="s">
        <v>35</v>
      </c>
      <c r="B10" s="12">
        <v>15840</v>
      </c>
      <c r="C10">
        <v>14</v>
      </c>
      <c r="D10">
        <v>1200</v>
      </c>
    </row>
    <row r="11" spans="1:4" x14ac:dyDescent="0.3">
      <c r="A11" s="14" t="s">
        <v>43</v>
      </c>
      <c r="B11" s="12">
        <v>10620</v>
      </c>
      <c r="C11">
        <v>18</v>
      </c>
      <c r="D11">
        <v>600</v>
      </c>
    </row>
    <row r="12" spans="1:4" x14ac:dyDescent="0.3">
      <c r="A12" s="14" t="s">
        <v>79</v>
      </c>
      <c r="B12" s="12">
        <v>670210</v>
      </c>
      <c r="C12">
        <v>73</v>
      </c>
      <c r="D12">
        <v>17683.333333333332</v>
      </c>
    </row>
  </sheetData>
  <conditionalFormatting sqref="B3">
    <cfRule type="top10" dxfId="4" priority="2" rank="10"/>
    <cfRule type="top10" dxfId="3" priority="1" rank="10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66B5-5303-418E-9552-18098B51F78D}">
  <dimension ref="A3:C30"/>
  <sheetViews>
    <sheetView workbookViewId="0">
      <selection activeCell="C4" sqref="C4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15.44140625" bestFit="1" customWidth="1"/>
    <col min="4" max="4" width="9.33203125" bestFit="1" customWidth="1"/>
    <col min="5" max="5" width="15.44140625" bestFit="1" customWidth="1"/>
    <col min="6" max="6" width="10.5546875" bestFit="1" customWidth="1"/>
    <col min="7" max="7" width="9.33203125" bestFit="1" customWidth="1"/>
    <col min="8" max="8" width="20.5546875" bestFit="1" customWidth="1"/>
    <col min="9" max="9" width="20.44140625" bestFit="1" customWidth="1"/>
    <col min="10" max="10" width="20.5546875" bestFit="1" customWidth="1"/>
    <col min="11" max="11" width="20.44140625" bestFit="1" customWidth="1"/>
  </cols>
  <sheetData>
    <row r="3" spans="1:3" x14ac:dyDescent="0.3">
      <c r="A3" s="13" t="s">
        <v>78</v>
      </c>
      <c r="B3" t="s">
        <v>83</v>
      </c>
      <c r="C3" t="s">
        <v>84</v>
      </c>
    </row>
    <row r="4" spans="1:3" x14ac:dyDescent="0.3">
      <c r="A4" s="14" t="s">
        <v>15</v>
      </c>
      <c r="B4" s="12">
        <v>301070</v>
      </c>
      <c r="C4">
        <v>21</v>
      </c>
    </row>
    <row r="5" spans="1:3" x14ac:dyDescent="0.3">
      <c r="A5" s="15" t="s">
        <v>43</v>
      </c>
      <c r="B5" s="12">
        <v>3420</v>
      </c>
      <c r="C5">
        <v>6</v>
      </c>
    </row>
    <row r="6" spans="1:3" x14ac:dyDescent="0.3">
      <c r="A6" s="15" t="s">
        <v>33</v>
      </c>
      <c r="B6" s="12">
        <v>43500</v>
      </c>
      <c r="C6">
        <v>3</v>
      </c>
    </row>
    <row r="7" spans="1:3" x14ac:dyDescent="0.3">
      <c r="A7" s="15" t="s">
        <v>19</v>
      </c>
      <c r="B7" s="12">
        <v>8550</v>
      </c>
      <c r="C7">
        <v>3</v>
      </c>
    </row>
    <row r="8" spans="1:3" x14ac:dyDescent="0.3">
      <c r="A8" s="15" t="s">
        <v>30</v>
      </c>
      <c r="B8" s="12">
        <v>4750</v>
      </c>
      <c r="C8">
        <v>2</v>
      </c>
    </row>
    <row r="9" spans="1:3" x14ac:dyDescent="0.3">
      <c r="A9" s="15" t="s">
        <v>13</v>
      </c>
      <c r="B9" s="12">
        <v>237250</v>
      </c>
      <c r="C9">
        <v>4</v>
      </c>
    </row>
    <row r="10" spans="1:3" x14ac:dyDescent="0.3">
      <c r="A10" s="15" t="s">
        <v>35</v>
      </c>
      <c r="B10" s="12">
        <v>3600</v>
      </c>
      <c r="C10">
        <v>3</v>
      </c>
    </row>
    <row r="11" spans="1:3" x14ac:dyDescent="0.3">
      <c r="A11" s="14" t="s">
        <v>20</v>
      </c>
      <c r="B11" s="12">
        <v>157100</v>
      </c>
      <c r="C11">
        <v>20</v>
      </c>
    </row>
    <row r="12" spans="1:3" x14ac:dyDescent="0.3">
      <c r="A12" s="15" t="s">
        <v>43</v>
      </c>
      <c r="B12" s="12">
        <v>4800</v>
      </c>
      <c r="C12">
        <v>8</v>
      </c>
    </row>
    <row r="13" spans="1:3" x14ac:dyDescent="0.3">
      <c r="A13" s="15" t="s">
        <v>33</v>
      </c>
      <c r="B13" s="12">
        <v>14250</v>
      </c>
      <c r="C13">
        <v>1</v>
      </c>
    </row>
    <row r="14" spans="1:3" x14ac:dyDescent="0.3">
      <c r="A14" s="15" t="s">
        <v>19</v>
      </c>
      <c r="B14" s="12">
        <v>5400</v>
      </c>
      <c r="C14">
        <v>2</v>
      </c>
    </row>
    <row r="15" spans="1:3" x14ac:dyDescent="0.3">
      <c r="A15" s="15" t="s">
        <v>30</v>
      </c>
      <c r="B15" s="12">
        <v>10000</v>
      </c>
      <c r="C15">
        <v>4</v>
      </c>
    </row>
    <row r="16" spans="1:3" x14ac:dyDescent="0.3">
      <c r="A16" s="15" t="s">
        <v>13</v>
      </c>
      <c r="B16" s="12">
        <v>61750</v>
      </c>
      <c r="C16">
        <v>1</v>
      </c>
    </row>
    <row r="17" spans="1:3" x14ac:dyDescent="0.3">
      <c r="A17" s="15" t="s">
        <v>38</v>
      </c>
      <c r="B17" s="12">
        <v>49500</v>
      </c>
      <c r="C17">
        <v>3</v>
      </c>
    </row>
    <row r="18" spans="1:3" x14ac:dyDescent="0.3">
      <c r="A18" s="15" t="s">
        <v>24</v>
      </c>
      <c r="B18" s="12">
        <v>11400</v>
      </c>
      <c r="C18">
        <v>1</v>
      </c>
    </row>
    <row r="19" spans="1:3" x14ac:dyDescent="0.3">
      <c r="A19" s="14" t="s">
        <v>26</v>
      </c>
      <c r="B19" s="12">
        <v>114600</v>
      </c>
      <c r="C19">
        <v>11</v>
      </c>
    </row>
    <row r="20" spans="1:3" x14ac:dyDescent="0.3">
      <c r="A20" s="15" t="s">
        <v>33</v>
      </c>
      <c r="B20" s="12">
        <v>25500</v>
      </c>
      <c r="C20">
        <v>2</v>
      </c>
    </row>
    <row r="21" spans="1:3" x14ac:dyDescent="0.3">
      <c r="A21" s="15" t="s">
        <v>30</v>
      </c>
      <c r="B21" s="12">
        <v>7500</v>
      </c>
      <c r="C21">
        <v>3</v>
      </c>
    </row>
    <row r="22" spans="1:3" x14ac:dyDescent="0.3">
      <c r="A22" s="15" t="s">
        <v>38</v>
      </c>
      <c r="B22" s="12">
        <v>46800</v>
      </c>
      <c r="C22">
        <v>3</v>
      </c>
    </row>
    <row r="23" spans="1:3" x14ac:dyDescent="0.3">
      <c r="A23" s="15" t="s">
        <v>24</v>
      </c>
      <c r="B23" s="12">
        <v>34800</v>
      </c>
      <c r="C23">
        <v>3</v>
      </c>
    </row>
    <row r="24" spans="1:3" x14ac:dyDescent="0.3">
      <c r="A24" s="14" t="s">
        <v>34</v>
      </c>
      <c r="B24" s="12">
        <v>97440</v>
      </c>
      <c r="C24">
        <v>21</v>
      </c>
    </row>
    <row r="25" spans="1:3" x14ac:dyDescent="0.3">
      <c r="A25" s="15" t="s">
        <v>43</v>
      </c>
      <c r="B25" s="12">
        <v>2400</v>
      </c>
      <c r="C25">
        <v>4</v>
      </c>
    </row>
    <row r="26" spans="1:3" x14ac:dyDescent="0.3">
      <c r="A26" s="15" t="s">
        <v>33</v>
      </c>
      <c r="B26" s="12">
        <v>13500</v>
      </c>
      <c r="C26">
        <v>1</v>
      </c>
    </row>
    <row r="27" spans="1:3" x14ac:dyDescent="0.3">
      <c r="A27" s="15" t="s">
        <v>19</v>
      </c>
      <c r="B27" s="12">
        <v>10800</v>
      </c>
      <c r="C27">
        <v>4</v>
      </c>
    </row>
    <row r="28" spans="1:3" x14ac:dyDescent="0.3">
      <c r="A28" s="15" t="s">
        <v>13</v>
      </c>
      <c r="B28" s="12">
        <v>58500</v>
      </c>
      <c r="C28">
        <v>1</v>
      </c>
    </row>
    <row r="29" spans="1:3" x14ac:dyDescent="0.3">
      <c r="A29" s="15" t="s">
        <v>35</v>
      </c>
      <c r="B29" s="12">
        <v>12240</v>
      </c>
      <c r="C29">
        <v>11</v>
      </c>
    </row>
    <row r="30" spans="1:3" x14ac:dyDescent="0.3">
      <c r="A30" s="14" t="s">
        <v>79</v>
      </c>
      <c r="B30" s="12">
        <v>670210</v>
      </c>
      <c r="C30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3C0B-31EF-426D-B45F-F8126F03CDE5}">
  <dimension ref="A3:B7"/>
  <sheetViews>
    <sheetView workbookViewId="0">
      <selection activeCell="A9" sqref="A9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3" spans="1:2" x14ac:dyDescent="0.3">
      <c r="A3" s="13" t="s">
        <v>78</v>
      </c>
      <c r="B3" t="s">
        <v>83</v>
      </c>
    </row>
    <row r="4" spans="1:2" x14ac:dyDescent="0.3">
      <c r="A4" s="14" t="s">
        <v>82</v>
      </c>
      <c r="B4" s="12">
        <v>241690</v>
      </c>
    </row>
    <row r="5" spans="1:2" x14ac:dyDescent="0.3">
      <c r="A5" s="14" t="s">
        <v>81</v>
      </c>
      <c r="B5" s="12">
        <v>223420</v>
      </c>
    </row>
    <row r="6" spans="1:2" x14ac:dyDescent="0.3">
      <c r="A6" s="14" t="s">
        <v>80</v>
      </c>
      <c r="B6" s="12">
        <v>205100</v>
      </c>
    </row>
    <row r="7" spans="1:2" x14ac:dyDescent="0.3">
      <c r="A7" s="14" t="s">
        <v>79</v>
      </c>
      <c r="B7" s="12">
        <v>670210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3731-DEC6-42CC-8C74-E2E8D14C96EB}">
  <dimension ref="A3:D57"/>
  <sheetViews>
    <sheetView workbookViewId="0">
      <selection activeCell="D8" sqref="D8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15.44140625" bestFit="1" customWidth="1"/>
    <col min="4" max="4" width="17.33203125" bestFit="1" customWidth="1"/>
    <col min="5" max="5" width="9.44140625" bestFit="1" customWidth="1"/>
    <col min="6" max="6" width="7" bestFit="1" customWidth="1"/>
    <col min="7" max="7" width="8.33203125" bestFit="1" customWidth="1"/>
    <col min="8" max="8" width="7.109375" bestFit="1" customWidth="1"/>
    <col min="9" max="9" width="11.44140625" bestFit="1" customWidth="1"/>
    <col min="10" max="10" width="11.33203125" bestFit="1" customWidth="1"/>
  </cols>
  <sheetData>
    <row r="3" spans="1:4" x14ac:dyDescent="0.3">
      <c r="A3" s="13" t="s">
        <v>78</v>
      </c>
      <c r="B3" t="s">
        <v>83</v>
      </c>
      <c r="C3" t="s">
        <v>84</v>
      </c>
      <c r="D3" t="s">
        <v>86</v>
      </c>
    </row>
    <row r="4" spans="1:4" x14ac:dyDescent="0.3">
      <c r="A4" s="14" t="s">
        <v>12</v>
      </c>
      <c r="B4" s="12">
        <v>130350</v>
      </c>
      <c r="C4">
        <v>5</v>
      </c>
      <c r="D4">
        <v>3</v>
      </c>
    </row>
    <row r="5" spans="1:4" x14ac:dyDescent="0.3">
      <c r="A5" s="15" t="s">
        <v>13</v>
      </c>
      <c r="B5" s="12">
        <v>126750</v>
      </c>
      <c r="C5">
        <v>2</v>
      </c>
      <c r="D5">
        <v>2</v>
      </c>
    </row>
    <row r="6" spans="1:4" x14ac:dyDescent="0.3">
      <c r="A6" s="15" t="s">
        <v>35</v>
      </c>
      <c r="B6" s="12">
        <v>3600</v>
      </c>
      <c r="C6">
        <v>3</v>
      </c>
      <c r="D6">
        <v>1</v>
      </c>
    </row>
    <row r="7" spans="1:4" x14ac:dyDescent="0.3">
      <c r="A7" s="14" t="s">
        <v>53</v>
      </c>
      <c r="B7" s="12">
        <v>110500</v>
      </c>
      <c r="C7">
        <v>2</v>
      </c>
      <c r="D7">
        <v>1</v>
      </c>
    </row>
    <row r="8" spans="1:4" x14ac:dyDescent="0.3">
      <c r="A8" s="15" t="s">
        <v>13</v>
      </c>
      <c r="B8" s="12">
        <v>110500</v>
      </c>
      <c r="C8">
        <v>2</v>
      </c>
      <c r="D8">
        <v>1</v>
      </c>
    </row>
    <row r="9" spans="1:4" x14ac:dyDescent="0.3">
      <c r="A9" s="14" t="s">
        <v>61</v>
      </c>
      <c r="B9" s="12">
        <v>61750</v>
      </c>
      <c r="C9">
        <v>1</v>
      </c>
      <c r="D9">
        <v>1</v>
      </c>
    </row>
    <row r="10" spans="1:4" x14ac:dyDescent="0.3">
      <c r="A10" s="15" t="s">
        <v>13</v>
      </c>
      <c r="B10" s="12">
        <v>61750</v>
      </c>
      <c r="C10">
        <v>1</v>
      </c>
      <c r="D10">
        <v>1</v>
      </c>
    </row>
    <row r="11" spans="1:4" x14ac:dyDescent="0.3">
      <c r="A11" s="14" t="s">
        <v>45</v>
      </c>
      <c r="B11" s="12">
        <v>58500</v>
      </c>
      <c r="C11">
        <v>1</v>
      </c>
      <c r="D11">
        <v>1</v>
      </c>
    </row>
    <row r="12" spans="1:4" x14ac:dyDescent="0.3">
      <c r="A12" s="15" t="s">
        <v>13</v>
      </c>
      <c r="B12" s="12">
        <v>58500</v>
      </c>
      <c r="C12">
        <v>1</v>
      </c>
      <c r="D12">
        <v>1</v>
      </c>
    </row>
    <row r="13" spans="1:4" x14ac:dyDescent="0.3">
      <c r="A13" s="14" t="s">
        <v>18</v>
      </c>
      <c r="B13" s="12">
        <v>37800</v>
      </c>
      <c r="C13">
        <v>4</v>
      </c>
      <c r="D13">
        <v>2</v>
      </c>
    </row>
    <row r="14" spans="1:4" x14ac:dyDescent="0.3">
      <c r="A14" s="15" t="s">
        <v>19</v>
      </c>
      <c r="B14" s="12">
        <v>5400</v>
      </c>
      <c r="C14">
        <v>2</v>
      </c>
      <c r="D14">
        <v>1</v>
      </c>
    </row>
    <row r="15" spans="1:4" x14ac:dyDescent="0.3">
      <c r="A15" s="15" t="s">
        <v>38</v>
      </c>
      <c r="B15" s="12">
        <v>32400</v>
      </c>
      <c r="C15">
        <v>2</v>
      </c>
      <c r="D15">
        <v>1</v>
      </c>
    </row>
    <row r="16" spans="1:4" x14ac:dyDescent="0.3">
      <c r="A16" s="14" t="s">
        <v>69</v>
      </c>
      <c r="B16" s="12">
        <v>30600</v>
      </c>
      <c r="C16">
        <v>2</v>
      </c>
      <c r="D16">
        <v>1</v>
      </c>
    </row>
    <row r="17" spans="1:4" x14ac:dyDescent="0.3">
      <c r="A17" s="15" t="s">
        <v>38</v>
      </c>
      <c r="B17" s="12">
        <v>30600</v>
      </c>
      <c r="C17">
        <v>2</v>
      </c>
      <c r="D17">
        <v>1</v>
      </c>
    </row>
    <row r="18" spans="1:4" x14ac:dyDescent="0.3">
      <c r="A18" s="14" t="s">
        <v>63</v>
      </c>
      <c r="B18" s="12">
        <v>30000</v>
      </c>
      <c r="C18">
        <v>2</v>
      </c>
      <c r="D18">
        <v>1</v>
      </c>
    </row>
    <row r="19" spans="1:4" x14ac:dyDescent="0.3">
      <c r="A19" s="15" t="s">
        <v>33</v>
      </c>
      <c r="B19" s="12">
        <v>30000</v>
      </c>
      <c r="C19">
        <v>2</v>
      </c>
      <c r="D19">
        <v>1</v>
      </c>
    </row>
    <row r="20" spans="1:4" x14ac:dyDescent="0.3">
      <c r="A20" s="14" t="s">
        <v>23</v>
      </c>
      <c r="B20" s="12">
        <v>28200</v>
      </c>
      <c r="C20">
        <v>2</v>
      </c>
      <c r="D20">
        <v>2</v>
      </c>
    </row>
    <row r="21" spans="1:4" x14ac:dyDescent="0.3">
      <c r="A21" s="15" t="s">
        <v>38</v>
      </c>
      <c r="B21" s="12">
        <v>16200</v>
      </c>
      <c r="C21">
        <v>1</v>
      </c>
      <c r="D21">
        <v>1</v>
      </c>
    </row>
    <row r="22" spans="1:4" x14ac:dyDescent="0.3">
      <c r="A22" s="15" t="s">
        <v>24</v>
      </c>
      <c r="B22" s="12">
        <v>12000</v>
      </c>
      <c r="C22">
        <v>1</v>
      </c>
      <c r="D22">
        <v>1</v>
      </c>
    </row>
    <row r="23" spans="1:4" x14ac:dyDescent="0.3">
      <c r="A23" s="14" t="s">
        <v>40</v>
      </c>
      <c r="B23" s="12">
        <v>25500</v>
      </c>
      <c r="C23">
        <v>2</v>
      </c>
      <c r="D23">
        <v>1</v>
      </c>
    </row>
    <row r="24" spans="1:4" x14ac:dyDescent="0.3">
      <c r="A24" s="15" t="s">
        <v>33</v>
      </c>
      <c r="B24" s="12">
        <v>25500</v>
      </c>
      <c r="C24">
        <v>2</v>
      </c>
      <c r="D24">
        <v>1</v>
      </c>
    </row>
    <row r="25" spans="1:4" x14ac:dyDescent="0.3">
      <c r="A25" s="14" t="s">
        <v>49</v>
      </c>
      <c r="B25" s="12">
        <v>22800</v>
      </c>
      <c r="C25">
        <v>2</v>
      </c>
      <c r="D25">
        <v>1</v>
      </c>
    </row>
    <row r="26" spans="1:4" x14ac:dyDescent="0.3">
      <c r="A26" s="15" t="s">
        <v>24</v>
      </c>
      <c r="B26" s="12">
        <v>22800</v>
      </c>
      <c r="C26">
        <v>2</v>
      </c>
      <c r="D26">
        <v>1</v>
      </c>
    </row>
    <row r="27" spans="1:4" x14ac:dyDescent="0.3">
      <c r="A27" s="14" t="s">
        <v>37</v>
      </c>
      <c r="B27" s="12">
        <v>18900</v>
      </c>
      <c r="C27">
        <v>4</v>
      </c>
      <c r="D27">
        <v>2</v>
      </c>
    </row>
    <row r="28" spans="1:4" x14ac:dyDescent="0.3">
      <c r="A28" s="15" t="s">
        <v>43</v>
      </c>
      <c r="B28" s="12">
        <v>1800</v>
      </c>
      <c r="C28">
        <v>3</v>
      </c>
      <c r="D28">
        <v>1</v>
      </c>
    </row>
    <row r="29" spans="1:4" x14ac:dyDescent="0.3">
      <c r="A29" s="15" t="s">
        <v>38</v>
      </c>
      <c r="B29" s="12">
        <v>17100</v>
      </c>
      <c r="C29">
        <v>1</v>
      </c>
      <c r="D29">
        <v>1</v>
      </c>
    </row>
    <row r="30" spans="1:4" x14ac:dyDescent="0.3">
      <c r="A30" s="14" t="s">
        <v>32</v>
      </c>
      <c r="B30" s="12">
        <v>18900</v>
      </c>
      <c r="C30">
        <v>6</v>
      </c>
      <c r="D30">
        <v>2</v>
      </c>
    </row>
    <row r="31" spans="1:4" x14ac:dyDescent="0.3">
      <c r="A31" s="15" t="s">
        <v>33</v>
      </c>
      <c r="B31" s="12">
        <v>13500</v>
      </c>
      <c r="C31">
        <v>1</v>
      </c>
      <c r="D31">
        <v>1</v>
      </c>
    </row>
    <row r="32" spans="1:4" x14ac:dyDescent="0.3">
      <c r="A32" s="15" t="s">
        <v>35</v>
      </c>
      <c r="B32" s="12">
        <v>5400</v>
      </c>
      <c r="C32">
        <v>5</v>
      </c>
      <c r="D32">
        <v>1</v>
      </c>
    </row>
    <row r="33" spans="1:4" x14ac:dyDescent="0.3">
      <c r="A33" s="14" t="s">
        <v>55</v>
      </c>
      <c r="B33" s="12">
        <v>14250</v>
      </c>
      <c r="C33">
        <v>1</v>
      </c>
      <c r="D33">
        <v>1</v>
      </c>
    </row>
    <row r="34" spans="1:4" x14ac:dyDescent="0.3">
      <c r="A34" s="15" t="s">
        <v>33</v>
      </c>
      <c r="B34" s="12">
        <v>14250</v>
      </c>
      <c r="C34">
        <v>1</v>
      </c>
      <c r="D34">
        <v>1</v>
      </c>
    </row>
    <row r="35" spans="1:4" x14ac:dyDescent="0.3">
      <c r="A35" s="14" t="s">
        <v>73</v>
      </c>
      <c r="B35" s="12">
        <v>13500</v>
      </c>
      <c r="C35">
        <v>1</v>
      </c>
      <c r="D35">
        <v>1</v>
      </c>
    </row>
    <row r="36" spans="1:4" x14ac:dyDescent="0.3">
      <c r="A36" s="15" t="s">
        <v>33</v>
      </c>
      <c r="B36" s="12">
        <v>13500</v>
      </c>
      <c r="C36">
        <v>1</v>
      </c>
      <c r="D36">
        <v>1</v>
      </c>
    </row>
    <row r="37" spans="1:4" x14ac:dyDescent="0.3">
      <c r="A37" s="14" t="s">
        <v>67</v>
      </c>
      <c r="B37" s="12">
        <v>11400</v>
      </c>
      <c r="C37">
        <v>1</v>
      </c>
      <c r="D37">
        <v>1</v>
      </c>
    </row>
    <row r="38" spans="1:4" x14ac:dyDescent="0.3">
      <c r="A38" s="15" t="s">
        <v>24</v>
      </c>
      <c r="B38" s="12">
        <v>11400</v>
      </c>
      <c r="C38">
        <v>1</v>
      </c>
      <c r="D38">
        <v>1</v>
      </c>
    </row>
    <row r="39" spans="1:4" x14ac:dyDescent="0.3">
      <c r="A39" s="14" t="s">
        <v>65</v>
      </c>
      <c r="B39" s="12">
        <v>10800</v>
      </c>
      <c r="C39">
        <v>4</v>
      </c>
      <c r="D39">
        <v>1</v>
      </c>
    </row>
    <row r="40" spans="1:4" x14ac:dyDescent="0.3">
      <c r="A40" s="15" t="s">
        <v>19</v>
      </c>
      <c r="B40" s="12">
        <v>10800</v>
      </c>
      <c r="C40">
        <v>4</v>
      </c>
      <c r="D40">
        <v>1</v>
      </c>
    </row>
    <row r="41" spans="1:4" x14ac:dyDescent="0.3">
      <c r="A41" s="14" t="s">
        <v>75</v>
      </c>
      <c r="B41" s="12">
        <v>10000</v>
      </c>
      <c r="C41">
        <v>4</v>
      </c>
      <c r="D41">
        <v>1</v>
      </c>
    </row>
    <row r="42" spans="1:4" x14ac:dyDescent="0.3">
      <c r="A42" s="15" t="s">
        <v>30</v>
      </c>
      <c r="B42" s="12">
        <v>10000</v>
      </c>
      <c r="C42">
        <v>4</v>
      </c>
      <c r="D42">
        <v>1</v>
      </c>
    </row>
    <row r="43" spans="1:4" x14ac:dyDescent="0.3">
      <c r="A43" s="14" t="s">
        <v>47</v>
      </c>
      <c r="B43" s="12">
        <v>8550</v>
      </c>
      <c r="C43">
        <v>3</v>
      </c>
      <c r="D43">
        <v>1</v>
      </c>
    </row>
    <row r="44" spans="1:4" x14ac:dyDescent="0.3">
      <c r="A44" s="15" t="s">
        <v>19</v>
      </c>
      <c r="B44" s="12">
        <v>8550</v>
      </c>
      <c r="C44">
        <v>3</v>
      </c>
      <c r="D44">
        <v>1</v>
      </c>
    </row>
    <row r="45" spans="1:4" x14ac:dyDescent="0.3">
      <c r="A45" s="14" t="s">
        <v>57</v>
      </c>
      <c r="B45" s="12">
        <v>7500</v>
      </c>
      <c r="C45">
        <v>3</v>
      </c>
      <c r="D45">
        <v>1</v>
      </c>
    </row>
    <row r="46" spans="1:4" x14ac:dyDescent="0.3">
      <c r="A46" s="15" t="s">
        <v>30</v>
      </c>
      <c r="B46" s="12">
        <v>7500</v>
      </c>
      <c r="C46">
        <v>3</v>
      </c>
      <c r="D46">
        <v>1</v>
      </c>
    </row>
    <row r="47" spans="1:4" x14ac:dyDescent="0.3">
      <c r="A47" s="14" t="s">
        <v>71</v>
      </c>
      <c r="B47" s="12">
        <v>6840</v>
      </c>
      <c r="C47">
        <v>6</v>
      </c>
      <c r="D47">
        <v>1</v>
      </c>
    </row>
    <row r="48" spans="1:4" x14ac:dyDescent="0.3">
      <c r="A48" s="15" t="s">
        <v>35</v>
      </c>
      <c r="B48" s="12">
        <v>6840</v>
      </c>
      <c r="C48">
        <v>6</v>
      </c>
      <c r="D48">
        <v>1</v>
      </c>
    </row>
    <row r="49" spans="1:4" x14ac:dyDescent="0.3">
      <c r="A49" s="14" t="s">
        <v>29</v>
      </c>
      <c r="B49" s="12">
        <v>4750</v>
      </c>
      <c r="C49">
        <v>2</v>
      </c>
      <c r="D49">
        <v>1</v>
      </c>
    </row>
    <row r="50" spans="1:4" x14ac:dyDescent="0.3">
      <c r="A50" s="15" t="s">
        <v>30</v>
      </c>
      <c r="B50" s="12">
        <v>4750</v>
      </c>
      <c r="C50">
        <v>2</v>
      </c>
      <c r="D50">
        <v>1</v>
      </c>
    </row>
    <row r="51" spans="1:4" x14ac:dyDescent="0.3">
      <c r="A51" s="14" t="s">
        <v>59</v>
      </c>
      <c r="B51" s="12">
        <v>3420</v>
      </c>
      <c r="C51">
        <v>6</v>
      </c>
      <c r="D51">
        <v>1</v>
      </c>
    </row>
    <row r="52" spans="1:4" x14ac:dyDescent="0.3">
      <c r="A52" s="15" t="s">
        <v>43</v>
      </c>
      <c r="B52" s="12">
        <v>3420</v>
      </c>
      <c r="C52">
        <v>6</v>
      </c>
      <c r="D52">
        <v>1</v>
      </c>
    </row>
    <row r="53" spans="1:4" x14ac:dyDescent="0.3">
      <c r="A53" s="14" t="s">
        <v>42</v>
      </c>
      <c r="B53" s="12">
        <v>3000</v>
      </c>
      <c r="C53">
        <v>5</v>
      </c>
      <c r="D53">
        <v>1</v>
      </c>
    </row>
    <row r="54" spans="1:4" x14ac:dyDescent="0.3">
      <c r="A54" s="15" t="s">
        <v>43</v>
      </c>
      <c r="B54" s="12">
        <v>3000</v>
      </c>
      <c r="C54">
        <v>5</v>
      </c>
      <c r="D54">
        <v>1</v>
      </c>
    </row>
    <row r="55" spans="1:4" x14ac:dyDescent="0.3">
      <c r="A55" s="14" t="s">
        <v>51</v>
      </c>
      <c r="B55" s="12">
        <v>2400</v>
      </c>
      <c r="C55">
        <v>4</v>
      </c>
      <c r="D55">
        <v>1</v>
      </c>
    </row>
    <row r="56" spans="1:4" x14ac:dyDescent="0.3">
      <c r="A56" s="15" t="s">
        <v>43</v>
      </c>
      <c r="B56" s="12">
        <v>2400</v>
      </c>
      <c r="C56">
        <v>4</v>
      </c>
      <c r="D56">
        <v>1</v>
      </c>
    </row>
    <row r="57" spans="1:4" x14ac:dyDescent="0.3">
      <c r="A57" s="14" t="s">
        <v>79</v>
      </c>
      <c r="B57" s="12">
        <v>670210</v>
      </c>
      <c r="C57">
        <v>73</v>
      </c>
      <c r="D57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3A4F-5BA4-4BB2-A2AE-37A41B129182}">
  <dimension ref="A1:F6"/>
  <sheetViews>
    <sheetView workbookViewId="0">
      <selection activeCell="D6" sqref="D6"/>
    </sheetView>
  </sheetViews>
  <sheetFormatPr defaultRowHeight="14.4" x14ac:dyDescent="0.3"/>
  <cols>
    <col min="1" max="1" width="24.44140625" customWidth="1"/>
  </cols>
  <sheetData>
    <row r="1" spans="1:6" x14ac:dyDescent="0.3">
      <c r="A1" s="17" t="s">
        <v>91</v>
      </c>
      <c r="B1" s="17"/>
      <c r="C1" s="17"/>
      <c r="D1" s="17"/>
      <c r="E1" s="17"/>
      <c r="F1" s="17"/>
    </row>
    <row r="2" spans="1:6" x14ac:dyDescent="0.3">
      <c r="A2" s="17"/>
      <c r="B2" s="17"/>
      <c r="C2" s="17"/>
      <c r="D2" s="17"/>
      <c r="E2" s="17"/>
      <c r="F2" s="17"/>
    </row>
    <row r="3" spans="1:6" x14ac:dyDescent="0.3">
      <c r="A3" s="16" t="s">
        <v>87</v>
      </c>
      <c r="B3" s="16">
        <f>670210</f>
        <v>670210</v>
      </c>
    </row>
    <row r="4" spans="1:6" x14ac:dyDescent="0.3">
      <c r="A4" s="16" t="s">
        <v>88</v>
      </c>
      <c r="B4" s="16">
        <f>30</f>
        <v>30</v>
      </c>
    </row>
    <row r="5" spans="1:6" x14ac:dyDescent="0.3">
      <c r="A5" s="16" t="s">
        <v>89</v>
      </c>
      <c r="B5" s="16">
        <f>73</f>
        <v>73</v>
      </c>
    </row>
    <row r="6" spans="1:6" x14ac:dyDescent="0.3">
      <c r="A6" s="16" t="s">
        <v>90</v>
      </c>
      <c r="B6" s="16">
        <f>670210/30</f>
        <v>22340.333333333332</v>
      </c>
    </row>
  </sheetData>
  <mergeCells count="1"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79" workbookViewId="0">
      <selection activeCell="Q10" sqref="Q10"/>
    </sheetView>
  </sheetViews>
  <sheetFormatPr defaultRowHeight="14.4" x14ac:dyDescent="0.3"/>
  <cols>
    <col min="1" max="1" width="10.88671875" customWidth="1"/>
    <col min="2" max="2" width="13.33203125" style="1" customWidth="1"/>
    <col min="3" max="3" width="14.109375" customWidth="1"/>
    <col min="4" max="4" width="17.88671875" customWidth="1"/>
    <col min="5" max="5" width="10" customWidth="1"/>
    <col min="6" max="6" width="11.33203125" customWidth="1"/>
    <col min="8" max="8" width="10.6640625" customWidth="1"/>
    <col min="9" max="9" width="16.5546875" customWidth="1"/>
    <col min="10" max="10" width="10.6640625" customWidth="1"/>
    <col min="11" max="11" width="19" customWidth="1"/>
    <col min="12" max="12" width="11.33203125" customWidth="1"/>
    <col min="13" max="13" width="9.5546875" bestFit="1" customWidth="1"/>
  </cols>
  <sheetData>
    <row r="1" spans="1:16" x14ac:dyDescent="0.3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s="12" t="s">
        <v>76</v>
      </c>
      <c r="M1" s="2" t="s">
        <v>77</v>
      </c>
    </row>
    <row r="2" spans="1:16" x14ac:dyDescent="0.3">
      <c r="A2">
        <v>1001</v>
      </c>
      <c r="B2" s="1">
        <v>45660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65000</v>
      </c>
      <c r="J2">
        <v>0.05</v>
      </c>
      <c r="K2" t="s">
        <v>16</v>
      </c>
      <c r="L2" s="12">
        <f>H2*I2*(1-J2)</f>
        <v>61750</v>
      </c>
      <c r="M2" t="str">
        <f t="shared" ref="M2:M31" si="0">IF(L2=H2*I2*(1-J2),"OK","CHECK")</f>
        <v>OK</v>
      </c>
    </row>
    <row r="3" spans="1:16" x14ac:dyDescent="0.3">
      <c r="A3">
        <v>1002</v>
      </c>
      <c r="B3" s="1">
        <v>45662</v>
      </c>
      <c r="C3" t="s">
        <v>17</v>
      </c>
      <c r="D3" t="s">
        <v>18</v>
      </c>
      <c r="E3" t="s">
        <v>19</v>
      </c>
      <c r="F3" t="s">
        <v>14</v>
      </c>
      <c r="G3" t="s">
        <v>20</v>
      </c>
      <c r="H3">
        <v>2</v>
      </c>
      <c r="I3">
        <v>3000</v>
      </c>
      <c r="J3">
        <v>0.1</v>
      </c>
      <c r="K3" t="s">
        <v>21</v>
      </c>
      <c r="L3" s="12">
        <f t="shared" ref="L3:L31" si="1">H3*I3*(1-J3)</f>
        <v>5400</v>
      </c>
      <c r="M3" t="str">
        <f>IF(L3=H3*I3*(1-J3),"OK","CHECK")</f>
        <v>OK</v>
      </c>
    </row>
    <row r="4" spans="1:16" x14ac:dyDescent="0.3">
      <c r="A4">
        <v>1003</v>
      </c>
      <c r="B4" s="1">
        <v>45664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</v>
      </c>
      <c r="I4">
        <v>12000</v>
      </c>
      <c r="J4">
        <v>0</v>
      </c>
      <c r="K4" t="s">
        <v>27</v>
      </c>
      <c r="L4" s="12">
        <f t="shared" si="1"/>
        <v>12000</v>
      </c>
      <c r="M4" t="str">
        <f t="shared" si="0"/>
        <v>OK</v>
      </c>
    </row>
    <row r="5" spans="1:16" x14ac:dyDescent="0.3">
      <c r="A5">
        <v>1004</v>
      </c>
      <c r="B5" s="1">
        <v>45667</v>
      </c>
      <c r="C5" t="s">
        <v>28</v>
      </c>
      <c r="D5" t="s">
        <v>29</v>
      </c>
      <c r="E5" t="s">
        <v>30</v>
      </c>
      <c r="F5" t="s">
        <v>14</v>
      </c>
      <c r="G5" t="s">
        <v>15</v>
      </c>
      <c r="H5">
        <v>2</v>
      </c>
      <c r="I5">
        <v>2500</v>
      </c>
      <c r="J5">
        <v>0.05</v>
      </c>
      <c r="K5" t="s">
        <v>21</v>
      </c>
      <c r="L5" s="12">
        <f t="shared" si="1"/>
        <v>4750</v>
      </c>
      <c r="M5" t="str">
        <f t="shared" si="0"/>
        <v>OK</v>
      </c>
    </row>
    <row r="6" spans="1:16" x14ac:dyDescent="0.3">
      <c r="A6">
        <v>1005</v>
      </c>
      <c r="B6" s="1">
        <v>45669</v>
      </c>
      <c r="C6" t="s">
        <v>31</v>
      </c>
      <c r="D6" t="s">
        <v>32</v>
      </c>
      <c r="E6" t="s">
        <v>33</v>
      </c>
      <c r="F6" t="s">
        <v>25</v>
      </c>
      <c r="G6" t="s">
        <v>34</v>
      </c>
      <c r="H6">
        <v>1</v>
      </c>
      <c r="I6">
        <v>15000</v>
      </c>
      <c r="J6">
        <v>0.1</v>
      </c>
      <c r="K6" t="s">
        <v>16</v>
      </c>
      <c r="L6" s="12">
        <f t="shared" si="1"/>
        <v>13500</v>
      </c>
      <c r="M6" t="str">
        <f t="shared" si="0"/>
        <v>OK</v>
      </c>
    </row>
    <row r="7" spans="1:16" x14ac:dyDescent="0.3">
      <c r="A7">
        <v>1006</v>
      </c>
      <c r="B7" s="1">
        <v>45672</v>
      </c>
      <c r="C7" t="s">
        <v>11</v>
      </c>
      <c r="D7" t="s">
        <v>12</v>
      </c>
      <c r="E7" t="s">
        <v>35</v>
      </c>
      <c r="F7" t="s">
        <v>14</v>
      </c>
      <c r="G7" t="s">
        <v>15</v>
      </c>
      <c r="H7">
        <v>3</v>
      </c>
      <c r="I7">
        <v>1200</v>
      </c>
      <c r="J7">
        <v>0</v>
      </c>
      <c r="K7" t="s">
        <v>21</v>
      </c>
      <c r="L7" s="12">
        <f t="shared" si="1"/>
        <v>3600</v>
      </c>
      <c r="M7" t="str">
        <f t="shared" si="0"/>
        <v>OK</v>
      </c>
    </row>
    <row r="8" spans="1:16" x14ac:dyDescent="0.3">
      <c r="A8">
        <v>1007</v>
      </c>
      <c r="B8" s="1">
        <v>45675</v>
      </c>
      <c r="C8" t="s">
        <v>36</v>
      </c>
      <c r="D8" t="s">
        <v>37</v>
      </c>
      <c r="E8" t="s">
        <v>38</v>
      </c>
      <c r="F8" t="s">
        <v>14</v>
      </c>
      <c r="G8" t="s">
        <v>20</v>
      </c>
      <c r="H8">
        <v>1</v>
      </c>
      <c r="I8">
        <v>18000</v>
      </c>
      <c r="J8">
        <v>0.05</v>
      </c>
      <c r="K8" t="s">
        <v>16</v>
      </c>
      <c r="L8" s="12">
        <f t="shared" si="1"/>
        <v>17100</v>
      </c>
      <c r="M8" t="str">
        <f t="shared" si="0"/>
        <v>OK</v>
      </c>
    </row>
    <row r="9" spans="1:16" x14ac:dyDescent="0.3">
      <c r="A9">
        <v>1008</v>
      </c>
      <c r="B9" s="1">
        <v>45678</v>
      </c>
      <c r="C9" t="s">
        <v>39</v>
      </c>
      <c r="D9" t="s">
        <v>40</v>
      </c>
      <c r="E9" t="s">
        <v>33</v>
      </c>
      <c r="F9" t="s">
        <v>25</v>
      </c>
      <c r="G9" t="s">
        <v>26</v>
      </c>
      <c r="H9">
        <v>2</v>
      </c>
      <c r="I9">
        <v>15000</v>
      </c>
      <c r="J9">
        <v>0.15</v>
      </c>
      <c r="K9" t="s">
        <v>21</v>
      </c>
      <c r="L9" s="12">
        <f t="shared" si="1"/>
        <v>25500</v>
      </c>
      <c r="M9" t="str">
        <f t="shared" si="0"/>
        <v>OK</v>
      </c>
    </row>
    <row r="10" spans="1:16" x14ac:dyDescent="0.3">
      <c r="A10">
        <v>1009</v>
      </c>
      <c r="B10" s="1">
        <v>45681</v>
      </c>
      <c r="C10" t="s">
        <v>41</v>
      </c>
      <c r="D10" t="s">
        <v>42</v>
      </c>
      <c r="E10" t="s">
        <v>43</v>
      </c>
      <c r="F10" t="s">
        <v>43</v>
      </c>
      <c r="G10" t="s">
        <v>20</v>
      </c>
      <c r="H10">
        <v>5</v>
      </c>
      <c r="I10">
        <v>600</v>
      </c>
      <c r="J10">
        <v>0</v>
      </c>
      <c r="K10" t="s">
        <v>27</v>
      </c>
      <c r="L10" s="12">
        <f t="shared" si="1"/>
        <v>3000</v>
      </c>
      <c r="M10" t="str">
        <f t="shared" si="0"/>
        <v>OK</v>
      </c>
    </row>
    <row r="11" spans="1:16" x14ac:dyDescent="0.3">
      <c r="A11">
        <v>1010</v>
      </c>
      <c r="B11" s="1">
        <v>45684</v>
      </c>
      <c r="C11" t="s">
        <v>44</v>
      </c>
      <c r="D11" t="s">
        <v>45</v>
      </c>
      <c r="E11" t="s">
        <v>13</v>
      </c>
      <c r="F11" t="s">
        <v>14</v>
      </c>
      <c r="G11" t="s">
        <v>34</v>
      </c>
      <c r="H11">
        <v>1</v>
      </c>
      <c r="I11">
        <v>65000</v>
      </c>
      <c r="J11">
        <v>0.1</v>
      </c>
      <c r="K11" t="s">
        <v>16</v>
      </c>
      <c r="L11" s="12">
        <f t="shared" si="1"/>
        <v>58500</v>
      </c>
      <c r="M11" t="str">
        <f t="shared" si="0"/>
        <v>OK</v>
      </c>
    </row>
    <row r="12" spans="1:16" x14ac:dyDescent="0.3">
      <c r="A12">
        <v>1011</v>
      </c>
      <c r="B12" s="1">
        <v>45690</v>
      </c>
      <c r="C12" t="s">
        <v>46</v>
      </c>
      <c r="D12" t="s">
        <v>47</v>
      </c>
      <c r="E12" t="s">
        <v>19</v>
      </c>
      <c r="F12" t="s">
        <v>14</v>
      </c>
      <c r="G12" t="s">
        <v>15</v>
      </c>
      <c r="H12">
        <v>3</v>
      </c>
      <c r="I12">
        <v>3000</v>
      </c>
      <c r="J12">
        <v>0.05</v>
      </c>
      <c r="K12" t="s">
        <v>21</v>
      </c>
      <c r="L12" s="12">
        <f t="shared" si="1"/>
        <v>8550</v>
      </c>
      <c r="M12" t="str">
        <f t="shared" si="0"/>
        <v>OK</v>
      </c>
      <c r="N12" s="3"/>
      <c r="O12" s="4"/>
      <c r="P12" s="5"/>
    </row>
    <row r="13" spans="1:16" x14ac:dyDescent="0.3">
      <c r="A13">
        <v>1012</v>
      </c>
      <c r="B13" s="1">
        <v>45693</v>
      </c>
      <c r="C13" t="s">
        <v>17</v>
      </c>
      <c r="D13" t="s">
        <v>18</v>
      </c>
      <c r="E13" t="s">
        <v>38</v>
      </c>
      <c r="F13" t="s">
        <v>14</v>
      </c>
      <c r="G13" t="s">
        <v>20</v>
      </c>
      <c r="H13">
        <v>2</v>
      </c>
      <c r="I13">
        <v>18000</v>
      </c>
      <c r="J13">
        <v>0.1</v>
      </c>
      <c r="K13" t="s">
        <v>16</v>
      </c>
      <c r="L13" s="12">
        <f t="shared" si="1"/>
        <v>32400</v>
      </c>
      <c r="M13" t="str">
        <f t="shared" si="0"/>
        <v>OK</v>
      </c>
      <c r="N13" s="6"/>
      <c r="O13" s="7"/>
      <c r="P13" s="8"/>
    </row>
    <row r="14" spans="1:16" x14ac:dyDescent="0.3">
      <c r="A14">
        <v>1013</v>
      </c>
      <c r="B14" s="1">
        <v>45696</v>
      </c>
      <c r="C14" t="s">
        <v>48</v>
      </c>
      <c r="D14" t="s">
        <v>49</v>
      </c>
      <c r="E14" t="s">
        <v>24</v>
      </c>
      <c r="F14" t="s">
        <v>25</v>
      </c>
      <c r="G14" t="s">
        <v>26</v>
      </c>
      <c r="H14">
        <v>2</v>
      </c>
      <c r="I14">
        <v>12000</v>
      </c>
      <c r="J14">
        <v>0.05</v>
      </c>
      <c r="K14" t="s">
        <v>27</v>
      </c>
      <c r="L14" s="12">
        <f t="shared" si="1"/>
        <v>22800</v>
      </c>
      <c r="M14" t="str">
        <f t="shared" si="0"/>
        <v>OK</v>
      </c>
      <c r="N14" s="6"/>
      <c r="O14" s="7"/>
      <c r="P14" s="8"/>
    </row>
    <row r="15" spans="1:16" x14ac:dyDescent="0.3">
      <c r="A15">
        <v>1014</v>
      </c>
      <c r="B15" s="1">
        <v>45699</v>
      </c>
      <c r="C15" t="s">
        <v>50</v>
      </c>
      <c r="D15" t="s">
        <v>51</v>
      </c>
      <c r="E15" t="s">
        <v>43</v>
      </c>
      <c r="F15" t="s">
        <v>43</v>
      </c>
      <c r="G15" t="s">
        <v>34</v>
      </c>
      <c r="H15">
        <v>4</v>
      </c>
      <c r="I15">
        <v>600</v>
      </c>
      <c r="J15">
        <v>0</v>
      </c>
      <c r="K15" t="s">
        <v>21</v>
      </c>
      <c r="L15" s="12">
        <f t="shared" si="1"/>
        <v>2400</v>
      </c>
      <c r="M15" t="str">
        <f t="shared" si="0"/>
        <v>OK</v>
      </c>
      <c r="N15" s="6"/>
      <c r="O15" s="7"/>
      <c r="P15" s="8"/>
    </row>
    <row r="16" spans="1:16" x14ac:dyDescent="0.3">
      <c r="A16">
        <v>1015</v>
      </c>
      <c r="B16" s="1">
        <v>45702</v>
      </c>
      <c r="C16" t="s">
        <v>52</v>
      </c>
      <c r="D16" t="s">
        <v>53</v>
      </c>
      <c r="E16" t="s">
        <v>13</v>
      </c>
      <c r="F16" t="s">
        <v>14</v>
      </c>
      <c r="G16" t="s">
        <v>15</v>
      </c>
      <c r="H16">
        <v>2</v>
      </c>
      <c r="I16">
        <v>65000</v>
      </c>
      <c r="J16">
        <v>0.15</v>
      </c>
      <c r="K16" t="s">
        <v>16</v>
      </c>
      <c r="L16" s="12">
        <f t="shared" si="1"/>
        <v>110500</v>
      </c>
      <c r="M16" t="str">
        <f t="shared" si="0"/>
        <v>OK</v>
      </c>
      <c r="N16" s="6"/>
      <c r="O16" s="7"/>
      <c r="P16" s="8"/>
    </row>
    <row r="17" spans="1:16" x14ac:dyDescent="0.3">
      <c r="A17">
        <v>1016</v>
      </c>
      <c r="B17" s="1">
        <v>45705</v>
      </c>
      <c r="C17" t="s">
        <v>54</v>
      </c>
      <c r="D17" t="s">
        <v>55</v>
      </c>
      <c r="E17" t="s">
        <v>33</v>
      </c>
      <c r="F17" t="s">
        <v>25</v>
      </c>
      <c r="G17" t="s">
        <v>20</v>
      </c>
      <c r="H17">
        <v>1</v>
      </c>
      <c r="I17">
        <v>15000</v>
      </c>
      <c r="J17">
        <v>0.05</v>
      </c>
      <c r="K17" t="s">
        <v>21</v>
      </c>
      <c r="L17" s="12">
        <f t="shared" si="1"/>
        <v>14250</v>
      </c>
      <c r="M17" t="str">
        <f t="shared" si="0"/>
        <v>OK</v>
      </c>
      <c r="N17" s="6"/>
      <c r="O17" s="7"/>
      <c r="P17" s="8"/>
    </row>
    <row r="18" spans="1:16" x14ac:dyDescent="0.3">
      <c r="A18">
        <v>1017</v>
      </c>
      <c r="B18" s="1">
        <v>45708</v>
      </c>
      <c r="C18" t="s">
        <v>31</v>
      </c>
      <c r="D18" t="s">
        <v>32</v>
      </c>
      <c r="E18" t="s">
        <v>35</v>
      </c>
      <c r="F18" t="s">
        <v>14</v>
      </c>
      <c r="G18" t="s">
        <v>34</v>
      </c>
      <c r="H18">
        <v>5</v>
      </c>
      <c r="I18">
        <v>1200</v>
      </c>
      <c r="J18">
        <v>0.1</v>
      </c>
      <c r="K18" t="s">
        <v>27</v>
      </c>
      <c r="L18" s="12">
        <f t="shared" si="1"/>
        <v>5400</v>
      </c>
      <c r="M18" t="str">
        <f t="shared" si="0"/>
        <v>OK</v>
      </c>
      <c r="N18" s="6"/>
      <c r="O18" s="7"/>
      <c r="P18" s="8"/>
    </row>
    <row r="19" spans="1:16" x14ac:dyDescent="0.3">
      <c r="A19">
        <v>1018</v>
      </c>
      <c r="B19" s="1">
        <v>45711</v>
      </c>
      <c r="C19" t="s">
        <v>56</v>
      </c>
      <c r="D19" t="s">
        <v>57</v>
      </c>
      <c r="E19" t="s">
        <v>30</v>
      </c>
      <c r="F19" t="s">
        <v>14</v>
      </c>
      <c r="G19" t="s">
        <v>26</v>
      </c>
      <c r="H19">
        <v>3</v>
      </c>
      <c r="I19">
        <v>2500</v>
      </c>
      <c r="J19">
        <v>0</v>
      </c>
      <c r="K19" t="s">
        <v>21</v>
      </c>
      <c r="L19" s="12">
        <f t="shared" si="1"/>
        <v>7500</v>
      </c>
      <c r="M19" t="str">
        <f t="shared" si="0"/>
        <v>OK</v>
      </c>
      <c r="N19" s="6"/>
      <c r="O19" s="7"/>
      <c r="P19" s="8"/>
    </row>
    <row r="20" spans="1:16" x14ac:dyDescent="0.3">
      <c r="A20">
        <v>1019</v>
      </c>
      <c r="B20" s="1">
        <v>45714</v>
      </c>
      <c r="C20" t="s">
        <v>58</v>
      </c>
      <c r="D20" t="s">
        <v>59</v>
      </c>
      <c r="E20" t="s">
        <v>43</v>
      </c>
      <c r="F20" t="s">
        <v>43</v>
      </c>
      <c r="G20" t="s">
        <v>15</v>
      </c>
      <c r="H20">
        <v>6</v>
      </c>
      <c r="I20">
        <v>600</v>
      </c>
      <c r="J20">
        <v>0.05</v>
      </c>
      <c r="K20" t="s">
        <v>16</v>
      </c>
      <c r="L20" s="12">
        <f t="shared" si="1"/>
        <v>3420</v>
      </c>
      <c r="M20" t="str">
        <f t="shared" si="0"/>
        <v>OK</v>
      </c>
      <c r="N20" s="6"/>
      <c r="O20" s="7"/>
      <c r="P20" s="8"/>
    </row>
    <row r="21" spans="1:16" x14ac:dyDescent="0.3">
      <c r="A21">
        <v>1020</v>
      </c>
      <c r="B21" s="1">
        <v>45716</v>
      </c>
      <c r="C21" t="s">
        <v>22</v>
      </c>
      <c r="D21" t="s">
        <v>23</v>
      </c>
      <c r="E21" t="s">
        <v>38</v>
      </c>
      <c r="F21" t="s">
        <v>14</v>
      </c>
      <c r="G21" t="s">
        <v>26</v>
      </c>
      <c r="H21">
        <v>1</v>
      </c>
      <c r="I21">
        <v>18000</v>
      </c>
      <c r="J21">
        <v>0.1</v>
      </c>
      <c r="K21" t="s">
        <v>27</v>
      </c>
      <c r="L21" s="12">
        <f t="shared" si="1"/>
        <v>16200</v>
      </c>
      <c r="M21" t="str">
        <f t="shared" si="0"/>
        <v>OK</v>
      </c>
      <c r="N21" s="6"/>
      <c r="O21" s="7"/>
      <c r="P21" s="8"/>
    </row>
    <row r="22" spans="1:16" x14ac:dyDescent="0.3">
      <c r="A22">
        <v>1021</v>
      </c>
      <c r="B22" s="1">
        <v>45719</v>
      </c>
      <c r="C22" t="s">
        <v>60</v>
      </c>
      <c r="D22" t="s">
        <v>61</v>
      </c>
      <c r="E22" t="s">
        <v>13</v>
      </c>
      <c r="F22" t="s">
        <v>14</v>
      </c>
      <c r="G22" t="s">
        <v>20</v>
      </c>
      <c r="H22">
        <v>1</v>
      </c>
      <c r="I22">
        <v>65000</v>
      </c>
      <c r="J22">
        <v>0.05</v>
      </c>
      <c r="K22" t="s">
        <v>16</v>
      </c>
      <c r="L22" s="12">
        <f t="shared" si="1"/>
        <v>61750</v>
      </c>
      <c r="M22" t="str">
        <f t="shared" si="0"/>
        <v>OK</v>
      </c>
      <c r="N22" s="6"/>
      <c r="O22" s="7"/>
      <c r="P22" s="8"/>
    </row>
    <row r="23" spans="1:16" x14ac:dyDescent="0.3">
      <c r="A23">
        <v>1022</v>
      </c>
      <c r="B23" s="1">
        <v>45722</v>
      </c>
      <c r="C23" t="s">
        <v>62</v>
      </c>
      <c r="D23" t="s">
        <v>63</v>
      </c>
      <c r="E23" t="s">
        <v>33</v>
      </c>
      <c r="F23" t="s">
        <v>25</v>
      </c>
      <c r="G23" t="s">
        <v>15</v>
      </c>
      <c r="H23">
        <v>2</v>
      </c>
      <c r="I23">
        <v>15000</v>
      </c>
      <c r="J23">
        <v>0</v>
      </c>
      <c r="K23" t="s">
        <v>21</v>
      </c>
      <c r="L23" s="12">
        <f t="shared" si="1"/>
        <v>30000</v>
      </c>
      <c r="M23" t="str">
        <f t="shared" si="0"/>
        <v>OK</v>
      </c>
      <c r="N23" s="6"/>
      <c r="O23" s="7"/>
      <c r="P23" s="8"/>
    </row>
    <row r="24" spans="1:16" x14ac:dyDescent="0.3">
      <c r="A24">
        <v>1023</v>
      </c>
      <c r="B24" s="1">
        <v>45725</v>
      </c>
      <c r="C24" t="s">
        <v>64</v>
      </c>
      <c r="D24" t="s">
        <v>65</v>
      </c>
      <c r="E24" t="s">
        <v>19</v>
      </c>
      <c r="F24" t="s">
        <v>14</v>
      </c>
      <c r="G24" t="s">
        <v>34</v>
      </c>
      <c r="H24">
        <v>4</v>
      </c>
      <c r="I24">
        <v>3000</v>
      </c>
      <c r="J24">
        <v>0.1</v>
      </c>
      <c r="K24" t="s">
        <v>21</v>
      </c>
      <c r="L24" s="12">
        <f t="shared" si="1"/>
        <v>10800</v>
      </c>
      <c r="M24" t="str">
        <f t="shared" si="0"/>
        <v>OK</v>
      </c>
      <c r="N24" s="6"/>
      <c r="O24" s="7"/>
      <c r="P24" s="8"/>
    </row>
    <row r="25" spans="1:16" x14ac:dyDescent="0.3">
      <c r="A25">
        <v>1024</v>
      </c>
      <c r="B25" s="1">
        <v>45728</v>
      </c>
      <c r="C25" t="s">
        <v>66</v>
      </c>
      <c r="D25" t="s">
        <v>67</v>
      </c>
      <c r="E25" t="s">
        <v>24</v>
      </c>
      <c r="F25" t="s">
        <v>25</v>
      </c>
      <c r="G25" t="s">
        <v>20</v>
      </c>
      <c r="H25">
        <v>1</v>
      </c>
      <c r="I25">
        <v>12000</v>
      </c>
      <c r="J25">
        <v>0.05</v>
      </c>
      <c r="K25" t="s">
        <v>16</v>
      </c>
      <c r="L25" s="12">
        <f t="shared" si="1"/>
        <v>11400</v>
      </c>
      <c r="M25" t="str">
        <f t="shared" si="0"/>
        <v>OK</v>
      </c>
      <c r="N25" s="6"/>
      <c r="O25" s="7"/>
      <c r="P25" s="8"/>
    </row>
    <row r="26" spans="1:16" x14ac:dyDescent="0.3">
      <c r="A26">
        <v>1025</v>
      </c>
      <c r="B26" s="1">
        <v>45731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>
        <v>1</v>
      </c>
      <c r="I26">
        <v>65000</v>
      </c>
      <c r="J26">
        <v>0</v>
      </c>
      <c r="K26" t="s">
        <v>16</v>
      </c>
      <c r="L26" s="12">
        <f t="shared" si="1"/>
        <v>65000</v>
      </c>
      <c r="M26" t="str">
        <f t="shared" si="0"/>
        <v>OK</v>
      </c>
      <c r="N26" s="6"/>
      <c r="O26" s="7"/>
      <c r="P26" s="8"/>
    </row>
    <row r="27" spans="1:16" x14ac:dyDescent="0.3">
      <c r="A27">
        <v>1026</v>
      </c>
      <c r="B27" s="1">
        <v>45734</v>
      </c>
      <c r="C27" t="s">
        <v>36</v>
      </c>
      <c r="D27" t="s">
        <v>37</v>
      </c>
      <c r="E27" t="s">
        <v>43</v>
      </c>
      <c r="F27" t="s">
        <v>43</v>
      </c>
      <c r="G27" t="s">
        <v>20</v>
      </c>
      <c r="H27">
        <v>3</v>
      </c>
      <c r="I27">
        <v>600</v>
      </c>
      <c r="J27">
        <v>0</v>
      </c>
      <c r="K27" t="s">
        <v>21</v>
      </c>
      <c r="L27" s="12">
        <f t="shared" si="1"/>
        <v>1800</v>
      </c>
      <c r="M27" t="str">
        <f t="shared" si="0"/>
        <v>OK</v>
      </c>
      <c r="N27" s="6"/>
      <c r="O27" s="7"/>
      <c r="P27" s="8"/>
    </row>
    <row r="28" spans="1:16" x14ac:dyDescent="0.3">
      <c r="A28">
        <v>1027</v>
      </c>
      <c r="B28" s="1">
        <v>45737</v>
      </c>
      <c r="C28" t="s">
        <v>68</v>
      </c>
      <c r="D28" t="s">
        <v>69</v>
      </c>
      <c r="E28" t="s">
        <v>38</v>
      </c>
      <c r="F28" t="s">
        <v>14</v>
      </c>
      <c r="G28" t="s">
        <v>26</v>
      </c>
      <c r="H28">
        <v>2</v>
      </c>
      <c r="I28">
        <v>18000</v>
      </c>
      <c r="J28">
        <v>0.15</v>
      </c>
      <c r="K28" t="s">
        <v>16</v>
      </c>
      <c r="L28" s="12">
        <f t="shared" si="1"/>
        <v>30600</v>
      </c>
      <c r="M28" t="str">
        <f t="shared" si="0"/>
        <v>OK</v>
      </c>
      <c r="N28" s="6"/>
      <c r="O28" s="7"/>
      <c r="P28" s="8"/>
    </row>
    <row r="29" spans="1:16" x14ac:dyDescent="0.3">
      <c r="A29">
        <v>1028</v>
      </c>
      <c r="B29" s="1">
        <v>45740</v>
      </c>
      <c r="C29" t="s">
        <v>70</v>
      </c>
      <c r="D29" t="s">
        <v>71</v>
      </c>
      <c r="E29" t="s">
        <v>35</v>
      </c>
      <c r="F29" t="s">
        <v>14</v>
      </c>
      <c r="G29" t="s">
        <v>34</v>
      </c>
      <c r="H29">
        <v>6</v>
      </c>
      <c r="I29">
        <v>1200</v>
      </c>
      <c r="J29">
        <v>0.05</v>
      </c>
      <c r="K29" t="s">
        <v>27</v>
      </c>
      <c r="L29" s="12">
        <f t="shared" si="1"/>
        <v>6840</v>
      </c>
      <c r="M29" t="str">
        <f t="shared" si="0"/>
        <v>OK</v>
      </c>
      <c r="N29" s="9"/>
      <c r="O29" s="10"/>
      <c r="P29" s="11"/>
    </row>
    <row r="30" spans="1:16" x14ac:dyDescent="0.3">
      <c r="A30">
        <v>1029</v>
      </c>
      <c r="B30" s="1">
        <v>45743</v>
      </c>
      <c r="C30" t="s">
        <v>72</v>
      </c>
      <c r="D30" t="s">
        <v>73</v>
      </c>
      <c r="E30" t="s">
        <v>33</v>
      </c>
      <c r="F30" t="s">
        <v>25</v>
      </c>
      <c r="G30" t="s">
        <v>15</v>
      </c>
      <c r="H30">
        <v>1</v>
      </c>
      <c r="I30">
        <v>15000</v>
      </c>
      <c r="J30">
        <v>0.1</v>
      </c>
      <c r="K30" t="s">
        <v>21</v>
      </c>
      <c r="L30" s="12">
        <f t="shared" si="1"/>
        <v>13500</v>
      </c>
      <c r="M30" t="str">
        <f t="shared" si="0"/>
        <v>OK</v>
      </c>
    </row>
    <row r="31" spans="1:16" x14ac:dyDescent="0.3">
      <c r="A31">
        <v>1030</v>
      </c>
      <c r="B31" s="1">
        <v>45746</v>
      </c>
      <c r="C31" t="s">
        <v>74</v>
      </c>
      <c r="D31" t="s">
        <v>75</v>
      </c>
      <c r="E31" t="s">
        <v>30</v>
      </c>
      <c r="F31" t="s">
        <v>14</v>
      </c>
      <c r="G31" t="s">
        <v>20</v>
      </c>
      <c r="H31">
        <v>4</v>
      </c>
      <c r="I31">
        <v>2500</v>
      </c>
      <c r="J31">
        <v>0</v>
      </c>
      <c r="K31" t="s">
        <v>16</v>
      </c>
      <c r="L31" s="12">
        <f t="shared" si="1"/>
        <v>10000</v>
      </c>
      <c r="M31" t="str">
        <f t="shared" si="0"/>
        <v>OK</v>
      </c>
    </row>
  </sheetData>
  <conditionalFormatting sqref="A4">
    <cfRule type="duplicateValues" dxfId="2" priority="2"/>
  </conditionalFormatting>
  <conditionalFormatting sqref="L2:L31">
    <cfRule type="top10" dxfId="0" priority="1" rank="10"/>
  </conditionalFormatting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Malguri</dc:creator>
  <cp:lastModifiedBy>Aditya Malguri</cp:lastModifiedBy>
  <dcterms:created xsi:type="dcterms:W3CDTF">2015-06-05T18:17:20Z</dcterms:created>
  <dcterms:modified xsi:type="dcterms:W3CDTF">2026-09-17T07:08:16Z</dcterms:modified>
</cp:coreProperties>
</file>